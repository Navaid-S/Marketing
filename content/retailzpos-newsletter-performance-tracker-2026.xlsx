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wsletter Tracker" sheetId="1" state="visible" r:id="rId3"/>
  </sheets>
  <definedNames>
    <definedName function="false" hidden="true" localSheetId="0" name="_xlnm._FilterDatabase" vbProcedure="false">'Newsletter Tracker'!$A$1:$P$10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<sst xmlns="http://schemas.openxmlformats.org/spreadsheetml/2006/main" count="45" uniqueCount="40">
  <si>
    <t xml:space="preserve">Month</t>
  </si>
  <si>
    <t xml:space="preserve">Delivery Date</t>
  </si>
  <si>
    <t xml:space="preserve">Campaign Title</t>
  </si>
  <si>
    <t xml:space="preserve">Total Recipients</t>
  </si>
  <si>
    <t xml:space="preserve">Successful Deliveries</t>
  </si>
  <si>
    <t xml:space="preserve">Bounces</t>
  </si>
  <si>
    <t xml:space="preserve">Bounce Rate</t>
  </si>
  <si>
    <t xml:space="preserve">Recipients Who Opened</t>
  </si>
  <si>
    <t xml:space="preserve">Open Rate</t>
  </si>
  <si>
    <t xml:space="preserve">Total Opens</t>
  </si>
  <si>
    <t xml:space="preserve">Recipients Who Clicked</t>
  </si>
  <si>
    <t xml:space="preserve">Click Rate</t>
  </si>
  <si>
    <t xml:space="preserve">Total Clicks</t>
  </si>
  <si>
    <t xml:space="preserve">Click-to-Open Rate</t>
  </si>
  <si>
    <t xml:space="preserve">Total Unsubs</t>
  </si>
  <si>
    <t xml:space="preserve">Unsub Rate</t>
  </si>
  <si>
    <t xml:space="preserve">January 2026</t>
  </si>
  <si>
    <t xml:space="preserve">1/13/2026</t>
  </si>
  <si>
    <t xml:space="preserve">Monthly RetailzPOS Newsletter</t>
  </si>
  <si>
    <t xml:space="preserve">February 2026</t>
  </si>
  <si>
    <t xml:space="preserve">2/4/2026</t>
  </si>
  <si>
    <t xml:space="preserve">March 2026</t>
  </si>
  <si>
    <t xml:space="preserve">3/10/2026</t>
  </si>
  <si>
    <t xml:space="preserve">RetailzPOS - Monthly Newsletter</t>
  </si>
  <si>
    <t xml:space="preserve">April 2026</t>
  </si>
  <si>
    <t xml:space="preserve">4/7/2026</t>
  </si>
  <si>
    <t xml:space="preserve">RetailzPOS Monthly Newsletter</t>
  </si>
  <si>
    <t xml:space="preserve">May 2026</t>
  </si>
  <si>
    <t xml:space="preserve">5/7/2026</t>
  </si>
  <si>
    <t xml:space="preserve">June 2026</t>
  </si>
  <si>
    <t xml:space="preserve">6/22/2026</t>
  </si>
  <si>
    <t xml:space="preserve">July 2026</t>
  </si>
  <si>
    <t xml:space="preserve">7/17/2026</t>
  </si>
  <si>
    <t xml:space="preserve">August 2026</t>
  </si>
  <si>
    <t xml:space="preserve">8/18/2026</t>
  </si>
  <si>
    <t xml:space="preserve">RetailzPOS August Newsletter</t>
  </si>
  <si>
    <t xml:space="preserve">October 2026</t>
  </si>
  <si>
    <t xml:space="preserve">10/5/2026</t>
  </si>
  <si>
    <t xml:space="preserve">9-Month Average</t>
  </si>
  <si>
    <t xml:space="preserve">Note: no September 2026 campaign report was provided — September is not included above.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</si>
</sst>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7F3EC"/>
      <name val="Calibri"/>
      <family val="0"/>
      <charset val="1"/>
    </font>
    <font>
      <b val="true"/>
      <sz val="11"/>
      <name val="Cambria"/>
      <family val="0"/>
      <charset val="1"/>
    </font>
    <font>
      <i val="true"/>
      <sz val="9"/>
      <color rgb="FF6B655C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21F1A"/>
        <bgColor rgb="FF333300"/>
      </patternFill>
    </fill>
    <fill>
      <patternFill patternType="solid">
        <fgColor rgb="FFF7F3EC"/>
        <bgColor rgb="FFFFFFCC"/>
      </patternFill>
    </fill>
    <fill>
      <patternFill patternType="solid">
        <fgColor rgb="FFD6A429"/>
        <bgColor rgb="FFFF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3CBB8"/>
      </left>
      <right style="thin">
        <color rgb="FFD3CBB8"/>
      </right>
      <top style="thin">
        <color rgb="FFD3CBB8"/>
      </top>
      <bottom style="thin">
        <color rgb="FFD3CBB8"/>
      </bottom>
      <diagonal/>
    </border>
    <border diagonalUp="false" diagonalDown="false">
      <left/>
      <right/>
      <top style="double">
        <color rgb="FF221F1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21F1A"/>
          <bgColor rgb="FF000000"/>
        </patternFill>
      </fill>
    </dxf>
    <dxf>
      <fill>
        <patternFill patternType="solid">
          <fgColor rgb="FFF7F3E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7F3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CB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6A429"/>
      <rgbColor rgb="FFFF6600"/>
      <rgbColor rgb="FF6B655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1F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5"/>
    <col collapsed="false" customWidth="true" hidden="false" outlineLevel="0" max="16" min="15" style="0" width="11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3" t="n">
        <v>244</v>
      </c>
      <c r="E2" s="3" t="n">
        <v>239</v>
      </c>
      <c r="F2" s="3" t="n">
        <v>5</v>
      </c>
      <c r="G2" s="4" t="n">
        <f aca="false">F2/D2</f>
        <v>0.0204918032786885</v>
      </c>
      <c r="H2" s="3" t="n">
        <v>69</v>
      </c>
      <c r="I2" s="4" t="n">
        <f aca="false">H2/E2</f>
        <v>0.288702928870293</v>
      </c>
      <c r="J2" s="3" t="n">
        <v>135</v>
      </c>
      <c r="K2" s="3" t="n">
        <v>2</v>
      </c>
      <c r="L2" s="4" t="n">
        <f aca="false">K2/E2</f>
        <v>0.00836820083682008</v>
      </c>
      <c r="M2" s="3" t="n">
        <v>6</v>
      </c>
      <c r="N2" s="4" t="n">
        <f aca="false">IF(H2=0,0,K2/H2)</f>
        <v>0.0289855072463768</v>
      </c>
      <c r="O2" s="3" t="n">
        <v>1</v>
      </c>
      <c r="P2" s="4" t="n">
        <f aca="false">O2/E2</f>
        <v>0.00418410041841004</v>
      </c>
    </row>
    <row r="3" customFormat="false" ht="15" hidden="false" customHeight="false" outlineLevel="0" collapsed="false">
      <c r="A3" s="5" t="s">
        <v>19</v>
      </c>
      <c r="B3" s="5" t="s">
        <v>20</v>
      </c>
      <c r="C3" s="5" t="s">
        <v>18</v>
      </c>
      <c r="D3" s="6" t="n">
        <v>240</v>
      </c>
      <c r="E3" s="6" t="n">
        <v>234</v>
      </c>
      <c r="F3" s="6" t="n">
        <v>6</v>
      </c>
      <c r="G3" s="7" t="n">
        <f aca="false">F3/D3</f>
        <v>0.025</v>
      </c>
      <c r="H3" s="6" t="n">
        <v>67</v>
      </c>
      <c r="I3" s="7" t="n">
        <f aca="false">H3/E3</f>
        <v>0.286324786324786</v>
      </c>
      <c r="J3" s="6" t="n">
        <v>135</v>
      </c>
      <c r="K3" s="6" t="n">
        <v>3</v>
      </c>
      <c r="L3" s="7" t="n">
        <f aca="false">K3/E3</f>
        <v>0.0128205128205128</v>
      </c>
      <c r="M3" s="6" t="n">
        <v>3</v>
      </c>
      <c r="N3" s="7" t="n">
        <f aca="false">IF(H3=0,0,K3/H3)</f>
        <v>0.0447761194029851</v>
      </c>
      <c r="O3" s="6" t="n">
        <v>1</v>
      </c>
      <c r="P3" s="7" t="n">
        <f aca="false">O3/E3</f>
        <v>0.00427350427350427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23</v>
      </c>
      <c r="D4" s="3" t="n">
        <v>239</v>
      </c>
      <c r="E4" s="3" t="n">
        <v>233</v>
      </c>
      <c r="F4" s="3" t="n">
        <v>6</v>
      </c>
      <c r="G4" s="4" t="n">
        <f aca="false">F4/D4</f>
        <v>0.0251046025104603</v>
      </c>
      <c r="H4" s="3" t="n">
        <v>81</v>
      </c>
      <c r="I4" s="4" t="n">
        <f aca="false">H4/E4</f>
        <v>0.347639484978541</v>
      </c>
      <c r="J4" s="3" t="n">
        <v>124</v>
      </c>
      <c r="K4" s="3" t="n">
        <v>6</v>
      </c>
      <c r="L4" s="4" t="n">
        <f aca="false">K4/E4</f>
        <v>0.0257510729613734</v>
      </c>
      <c r="M4" s="3" t="n">
        <v>7</v>
      </c>
      <c r="N4" s="4" t="n">
        <f aca="false">IF(H4=0,0,K4/H4)</f>
        <v>0.0740740740740741</v>
      </c>
      <c r="O4" s="3" t="n">
        <v>1</v>
      </c>
      <c r="P4" s="4" t="n">
        <f aca="false">O4/E4</f>
        <v>0.00429184549356223</v>
      </c>
    </row>
    <row r="5" customFormat="false" ht="15" hidden="false" customHeight="false" outlineLevel="0" collapsed="false">
      <c r="A5" s="5" t="s">
        <v>24</v>
      </c>
      <c r="B5" s="5" t="s">
        <v>25</v>
      </c>
      <c r="C5" s="5" t="s">
        <v>26</v>
      </c>
      <c r="D5" s="6" t="n">
        <v>230</v>
      </c>
      <c r="E5" s="6" t="n">
        <v>228</v>
      </c>
      <c r="F5" s="6" t="n">
        <v>2</v>
      </c>
      <c r="G5" s="7" t="n">
        <f aca="false">F5/D5</f>
        <v>0.00869565217391304</v>
      </c>
      <c r="H5" s="6" t="n">
        <v>69</v>
      </c>
      <c r="I5" s="7" t="n">
        <f aca="false">H5/E5</f>
        <v>0.302631578947368</v>
      </c>
      <c r="J5" s="6" t="n">
        <v>116</v>
      </c>
      <c r="K5" s="6" t="n">
        <v>1</v>
      </c>
      <c r="L5" s="7" t="n">
        <f aca="false">K5/E5</f>
        <v>0.0043859649122807</v>
      </c>
      <c r="M5" s="6" t="n">
        <v>1</v>
      </c>
      <c r="N5" s="7" t="n">
        <f aca="false">IF(H5=0,0,K5/H5)</f>
        <v>0.0144927536231884</v>
      </c>
      <c r="O5" s="6" t="n">
        <v>0</v>
      </c>
      <c r="P5" s="7" t="n">
        <f aca="false">O5/E5</f>
        <v>0</v>
      </c>
    </row>
    <row r="6" customFormat="false" ht="15" hidden="false" customHeight="false" outlineLevel="0" collapsed="false">
      <c r="A6" s="2" t="s">
        <v>27</v>
      </c>
      <c r="B6" s="2" t="s">
        <v>28</v>
      </c>
      <c r="C6" s="2" t="s">
        <v>26</v>
      </c>
      <c r="D6" s="3" t="n">
        <v>229</v>
      </c>
      <c r="E6" s="3" t="n">
        <v>229</v>
      </c>
      <c r="F6" s="3" t="n">
        <v>0</v>
      </c>
      <c r="G6" s="4" t="n">
        <f aca="false">F6/D6</f>
        <v>0</v>
      </c>
      <c r="H6" s="3" t="n">
        <v>46</v>
      </c>
      <c r="I6" s="4" t="n">
        <f aca="false">H6/E6</f>
        <v>0.200873362445415</v>
      </c>
      <c r="J6" s="3" t="n">
        <v>92</v>
      </c>
      <c r="K6" s="3" t="n">
        <v>2</v>
      </c>
      <c r="L6" s="4" t="n">
        <f aca="false">K6/E6</f>
        <v>0.00873362445414847</v>
      </c>
      <c r="M6" s="3" t="n">
        <v>2</v>
      </c>
      <c r="N6" s="4" t="n">
        <f aca="false">IF(H6=0,0,K6/H6)</f>
        <v>0.0434782608695652</v>
      </c>
      <c r="O6" s="3" t="n">
        <v>0</v>
      </c>
      <c r="P6" s="4" t="n">
        <f aca="false">O6/E6</f>
        <v>0</v>
      </c>
    </row>
    <row r="7" customFormat="false" ht="15" hidden="false" customHeight="false" outlineLevel="0" collapsed="false">
      <c r="A7" s="5" t="s">
        <v>29</v>
      </c>
      <c r="B7" s="5" t="s">
        <v>30</v>
      </c>
      <c r="C7" s="5" t="s">
        <v>23</v>
      </c>
      <c r="D7" s="6" t="n">
        <v>229</v>
      </c>
      <c r="E7" s="6" t="n">
        <v>229</v>
      </c>
      <c r="F7" s="6" t="n">
        <v>0</v>
      </c>
      <c r="G7" s="7" t="n">
        <f aca="false">F7/D7</f>
        <v>0</v>
      </c>
      <c r="H7" s="6" t="n">
        <v>83</v>
      </c>
      <c r="I7" s="7" t="n">
        <f aca="false">H7/E7</f>
        <v>0.362445414847162</v>
      </c>
      <c r="J7" s="6" t="n">
        <v>135</v>
      </c>
      <c r="K7" s="6" t="n">
        <v>6</v>
      </c>
      <c r="L7" s="7" t="n">
        <f aca="false">K7/E7</f>
        <v>0.0262008733624454</v>
      </c>
      <c r="M7" s="6" t="n">
        <v>6</v>
      </c>
      <c r="N7" s="7" t="n">
        <f aca="false">IF(H7=0,0,K7/H7)</f>
        <v>0.072289156626506</v>
      </c>
      <c r="O7" s="6" t="n">
        <v>2</v>
      </c>
      <c r="P7" s="7" t="n">
        <f aca="false">O7/E7</f>
        <v>0.00873362445414847</v>
      </c>
    </row>
    <row r="8" customFormat="false" ht="15" hidden="false" customHeight="false" outlineLevel="0" collapsed="false">
      <c r="A8" s="2" t="s">
        <v>31</v>
      </c>
      <c r="B8" s="2" t="s">
        <v>32</v>
      </c>
      <c r="C8" s="2" t="s">
        <v>26</v>
      </c>
      <c r="D8" s="3" t="n">
        <v>227</v>
      </c>
      <c r="E8" s="3" t="n">
        <v>224</v>
      </c>
      <c r="F8" s="3" t="n">
        <v>3</v>
      </c>
      <c r="G8" s="4" t="n">
        <f aca="false">F8/D8</f>
        <v>0.013215859030837</v>
      </c>
      <c r="H8" s="3" t="n">
        <v>55</v>
      </c>
      <c r="I8" s="4" t="n">
        <f aca="false">H8/E8</f>
        <v>0.245535714285714</v>
      </c>
      <c r="J8" s="3" t="n">
        <v>101</v>
      </c>
      <c r="K8" s="3" t="n">
        <v>3</v>
      </c>
      <c r="L8" s="4" t="n">
        <f aca="false">K8/E8</f>
        <v>0.0133928571428571</v>
      </c>
      <c r="M8" s="3" t="n">
        <v>4</v>
      </c>
      <c r="N8" s="4" t="n">
        <f aca="false">IF(H8=0,0,K8/H8)</f>
        <v>0.0545454545454545</v>
      </c>
      <c r="O8" s="3" t="n">
        <v>0</v>
      </c>
      <c r="P8" s="4" t="n">
        <f aca="false">O8/E8</f>
        <v>0</v>
      </c>
    </row>
    <row r="9" customFormat="false" ht="15" hidden="false" customHeight="false" outlineLevel="0" collapsed="false">
      <c r="A9" s="5" t="s">
        <v>33</v>
      </c>
      <c r="B9" s="5" t="s">
        <v>34</v>
      </c>
      <c r="C9" s="5" t="s">
        <v>35</v>
      </c>
      <c r="D9" s="6" t="n">
        <v>226</v>
      </c>
      <c r="E9" s="6" t="n">
        <v>225</v>
      </c>
      <c r="F9" s="6" t="n">
        <v>1</v>
      </c>
      <c r="G9" s="7" t="n">
        <f aca="false">F9/D9</f>
        <v>0.00442477876106195</v>
      </c>
      <c r="H9" s="6" t="n">
        <v>59</v>
      </c>
      <c r="I9" s="7" t="n">
        <f aca="false">H9/E9</f>
        <v>0.262222222222222</v>
      </c>
      <c r="J9" s="6" t="n">
        <v>82</v>
      </c>
      <c r="K9" s="6" t="n">
        <v>3</v>
      </c>
      <c r="L9" s="7" t="n">
        <f aca="false">K9/E9</f>
        <v>0.0133333333333333</v>
      </c>
      <c r="M9" s="6" t="n">
        <v>4</v>
      </c>
      <c r="N9" s="7" t="n">
        <f aca="false">IF(H9=0,0,K9/H9)</f>
        <v>0.0508474576271187</v>
      </c>
      <c r="O9" s="6" t="n">
        <v>0</v>
      </c>
      <c r="P9" s="7" t="n">
        <f aca="false">O9/E9</f>
        <v>0</v>
      </c>
    </row>
    <row r="10" customFormat="false" ht="15" hidden="false" customHeight="false" outlineLevel="0" collapsed="false">
      <c r="A10" s="2" t="s">
        <v>36</v>
      </c>
      <c r="B10" s="2" t="s">
        <v>37</v>
      </c>
      <c r="C10" s="2" t="s">
        <v>26</v>
      </c>
      <c r="D10" s="3" t="n">
        <v>226</v>
      </c>
      <c r="E10" s="3" t="n">
        <v>224</v>
      </c>
      <c r="F10" s="3" t="n">
        <v>2</v>
      </c>
      <c r="G10" s="4" t="n">
        <f aca="false">F10/D10</f>
        <v>0.00884955752212389</v>
      </c>
      <c r="H10" s="3" t="n">
        <v>47</v>
      </c>
      <c r="I10" s="4" t="n">
        <f aca="false">H10/E10</f>
        <v>0.209821428571429</v>
      </c>
      <c r="J10" s="3" t="n">
        <v>91</v>
      </c>
      <c r="K10" s="3" t="n">
        <v>2</v>
      </c>
      <c r="L10" s="4" t="n">
        <f aca="false">K10/E10</f>
        <v>0.00892857142857143</v>
      </c>
      <c r="M10" s="3" t="n">
        <v>4</v>
      </c>
      <c r="N10" s="4" t="n">
        <f aca="false">IF(H10=0,0,K10/H10)</f>
        <v>0.0425531914893617</v>
      </c>
      <c r="O10" s="3" t="n">
        <v>0</v>
      </c>
      <c r="P10" s="4" t="n">
        <f aca="false">O10/E10</f>
        <v>0</v>
      </c>
    </row>
    <row r="12" customFormat="false" ht="15" hidden="false" customHeight="false" outlineLevel="0" collapsed="false">
      <c r="A12" s="8" t="s">
        <v>38</v>
      </c>
      <c r="B12" s="8"/>
      <c r="C12" s="8"/>
      <c r="D12" s="9" t="n">
        <f aca="false">AVERAGE(D2:D10)</f>
        <v>232.222222222222</v>
      </c>
      <c r="E12" s="9" t="n">
        <f aca="false">AVERAGE(E2:E10)</f>
        <v>229.444444444444</v>
      </c>
      <c r="F12" s="9" t="n">
        <f aca="false">AVERAGE(F2:F10)</f>
        <v>2.77777777777778</v>
      </c>
      <c r="G12" s="10" t="n">
        <f aca="false">AVERAGE(G2:G10)</f>
        <v>0.0117535836974539</v>
      </c>
      <c r="H12" s="9" t="n">
        <f aca="false">AVERAGE(H2:H10)</f>
        <v>64</v>
      </c>
      <c r="I12" s="10" t="n">
        <f aca="false">AVERAGE(I2:I10)</f>
        <v>0.278466324610326</v>
      </c>
      <c r="J12" s="9" t="n">
        <f aca="false">AVERAGE(J2:J10)</f>
        <v>112.333333333333</v>
      </c>
      <c r="K12" s="9" t="n">
        <f aca="false">AVERAGE(K2:K10)</f>
        <v>3.11111111111111</v>
      </c>
      <c r="L12" s="10" t="n">
        <f aca="false">AVERAGE(L2:L10)</f>
        <v>0.0135461123613714</v>
      </c>
      <c r="M12" s="9" t="n">
        <f aca="false">AVERAGE(M2:M10)</f>
        <v>4.11111111111111</v>
      </c>
      <c r="N12" s="10" t="n">
        <f aca="false">AVERAGE(N2:N10)</f>
        <v>0.0473379972782923</v>
      </c>
      <c r="O12" s="9" t="n">
        <f aca="false">AVERAGE(O2:O10)</f>
        <v>0.555555555555556</v>
      </c>
      <c r="P12" s="10" t="n">
        <f aca="false">AVERAGE(P2:P10)</f>
        <v>0.00238700829329167</v>
      </c>
    </row>
    <row r="14" customFormat="false" ht="15" hidden="false" customHeight="false" outlineLevel="0" collapsed="false">
      <c r="A14" s="11" t="s">
        <v>39</v>
      </c>
      <c r="B14" s="11"/>
      <c r="C14" s="11"/>
      <c r="D14" s="11"/>
      <c r="E14" s="11"/>
      <c r="F14" s="11"/>
    </row>
  </sheetData>
  <autoFilter ref="A1:P10"/>
  <mergeCells count="1"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2026-10-20T16:33:48Z</dcterms:created>
  <dc:creator>openpyxl</dc:creator>
  <dc:description/>
  <dc:language>en-US</dc:language>
  <cp:lastModifiedBy/>
  <dcterms:modified xsi:type="dcterms:W3CDTF">2026-10-20T16:33:48Z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