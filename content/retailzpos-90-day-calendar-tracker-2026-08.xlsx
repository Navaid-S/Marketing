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90-Day Calendar &amp; Tracker" sheetId="2" state="visible" r:id="rId2"/>
    <sheet xmlns:r="http://schemas.openxmlformats.org/officeDocument/2006/relationships" name="Platform Metric Guide" sheetId="3" state="visible" r:id="rId3"/>
    <sheet xmlns:r="http://schemas.openxmlformats.org/officeDocument/2006/relationships" name="Performance Dashboard" sheetId="4" state="visible" r:id="rId4"/>
    <sheet xmlns:r="http://schemas.openxmlformats.org/officeDocument/2006/relationships" name="Weekly Themes" sheetId="5" state="visible" r:id="rId5"/>
    <sheet xmlns:r="http://schemas.openxmlformats.org/officeDocument/2006/relationships" name="Content Mix Tracker" sheetId="6" state="visible" r:id="rId6"/>
    <sheet xmlns:r="http://schemas.openxmlformats.org/officeDocument/2006/relationships" name="Feature to Hook Library" sheetId="7" state="visible" r:id="rId7"/>
    <sheet xmlns:r="http://schemas.openxmlformats.org/officeDocument/2006/relationships" name="Blog &amp; SEO Plan" sheetId="8" state="visible" r:id="rId8"/>
    <sheet xmlns:r="http://schemas.openxmlformats.org/officeDocument/2006/relationships" name="Email &amp; Lifecycle" sheetId="9" state="visible" r:id="rId9"/>
    <sheet xmlns:r="http://schemas.openxmlformats.org/officeDocument/2006/relationships" name="Post Grading - Pre" sheetId="10" state="visible" r:id="rId10"/>
    <sheet xmlns:r="http://schemas.openxmlformats.org/officeDocument/2006/relationships" name="Post Grading - Post" sheetId="11" state="visible" r:id="rId11"/>
    <sheet xmlns:r="http://schemas.openxmlformats.org/officeDocument/2006/relationships" name="Do &amp; Don't" sheetId="12" state="visible" r:id="rId12"/>
    <sheet xmlns:r="http://schemas.openxmlformats.org/officeDocument/2006/relationships" name="KPI Track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, yyyy"/>
  </numFmts>
  <fonts count="12">
    <font>
      <name val="Calibri"/>
      <family val="2"/>
      <color theme="1"/>
      <sz val="11"/>
      <scheme val="minor"/>
    </font>
    <font>
      <name val="Calibri"/>
      <b val="1"/>
      <color rgb="00221F1A"/>
      <sz val="16"/>
    </font>
    <font>
      <name val="Calibri"/>
      <i val="1"/>
      <color rgb="006B655C"/>
      <sz val="10"/>
    </font>
    <font>
      <name val="Calibri"/>
      <color rgb="00221F1A"/>
      <sz val="10"/>
    </font>
    <font>
      <b val="1"/>
      <color rgb="00221F1A"/>
      <sz val="12"/>
    </font>
    <font>
      <b val="1"/>
      <color rgb="00221F1A"/>
      <sz val="9"/>
    </font>
    <font>
      <name val="Calibri"/>
      <b val="1"/>
      <color rgb="00FFFFFF"/>
      <sz val="10"/>
    </font>
    <font>
      <b val="1"/>
      <color rgb="00221F1A"/>
      <sz val="11"/>
    </font>
    <font>
      <b val="1"/>
      <color rgb="00B23A2E"/>
      <sz val="10"/>
    </font>
    <font>
      <b val="1"/>
    </font>
    <font>
      <b val="1"/>
      <sz val="12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EFE0B0"/>
      </patternFill>
    </fill>
    <fill>
      <patternFill patternType="solid">
        <fgColor rgb="00D9E4E2"/>
      </patternFill>
    </fill>
    <fill>
      <patternFill patternType="solid">
        <fgColor rgb="00E3D9EC"/>
      </patternFill>
    </fill>
    <fill>
      <patternFill patternType="solid">
        <fgColor rgb="00D9EAD3"/>
      </patternFill>
    </fill>
    <fill>
      <patternFill patternType="solid">
        <fgColor rgb="00221F1A"/>
      </patternFill>
    </fill>
  </fills>
  <borders count="2">
    <border>
      <left/>
      <right/>
      <top/>
      <bottom/>
      <diagonal/>
    </border>
    <border>
      <left style="thin">
        <color rgb="00C9C2B4"/>
      </left>
      <right style="thin">
        <color rgb="00C9C2B4"/>
      </right>
      <top style="thin">
        <color rgb="00C9C2B4"/>
      </top>
      <bottom style="thin">
        <color rgb="00C9C2B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6" borderId="1" applyAlignment="1" pivotButton="0" quotePrefix="0" xfId="0">
      <alignment vertical="center" wrapText="1"/>
    </xf>
    <xf numFmtId="0" fontId="3" fillId="0" borderId="1" pivotButton="0" quotePrefix="0" xfId="0"/>
    <xf numFmtId="165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6" fillId="6" borderId="0" pivotButton="0" quotePrefix="0" xfId="0"/>
    <xf numFmtId="0" fontId="7" fillId="0" borderId="1" pivotButton="0" quotePrefix="0" xfId="0"/>
    <xf numFmtId="0" fontId="4" fillId="0" borderId="0" pivotButton="0" quotePrefix="0" xfId="0"/>
    <xf numFmtId="9" fontId="3" fillId="0" borderId="1" pivotButton="0" quotePrefix="0" xfId="0"/>
    <xf numFmtId="0" fontId="8" fillId="0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1" pivotButton="0" quotePrefix="0" xfId="0"/>
    <xf numFmtId="0" fontId="7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10" customWidth="1" min="1" max="1"/>
    <col width="20" customWidth="1" min="2" max="2"/>
  </cols>
  <sheetData>
    <row r="1" ht="24" customHeight="1">
      <c r="A1" s="1" t="inlineStr">
        <is>
          <t>RetailzPOS — 90-Day Content Calendar &amp; Tracker</t>
        </is>
      </c>
    </row>
    <row r="2">
      <c r="A2" s="2" t="inlineStr">
        <is>
          <t>Launch quarter · 3 August – 1 November 2026 · United States · v1.0</t>
        </is>
      </c>
    </row>
    <row r="4" ht="15" customHeight="1">
      <c r="A4" s="3" t="inlineStr"/>
    </row>
    <row r="5" ht="15" customHeight="1">
      <c r="A5" s="4" t="inlineStr">
        <is>
          <t>What this workbook is</t>
        </is>
      </c>
    </row>
    <row r="6" ht="30" customHeight="1">
      <c r="A6" s="3" t="inlineStr">
        <is>
          <t>The production and performance system behind the 90-Day Marketing Plan and Content Book. Every row on the 90-Day Calendar &amp; Tracker sheet is one platform-specific post, exploded from the 89 creative units written in full in the Content Book.</t>
        </is>
      </c>
    </row>
    <row r="7" ht="15" customHeight="1">
      <c r="A7" s="3" t="inlineStr"/>
    </row>
    <row r="8" ht="15" customHeight="1">
      <c r="A8" s="4" t="inlineStr">
        <is>
          <t>How a unit becomes multiple rows</t>
        </is>
      </c>
    </row>
    <row r="9" ht="30" customHeight="1">
      <c r="A9" s="3" t="inlineStr">
        <is>
          <t>Each Content Book unit runs on 1-6 platforms depending on format (a blog anchor runs on LinkedIn, Facebook, the blog itself, and mirrors to X; a Reel runs on TikTok primary and mirrors to Instagram). Each platform instance gets its own row so status and performance can be tracked independently, tagged Primary / Adapted / Mirror to show which role that platform plays for the unit.</t>
        </is>
      </c>
    </row>
    <row r="10" ht="15" customHeight="1">
      <c r="A10" s="3" t="inlineStr"/>
    </row>
    <row r="11" ht="15" customHeight="1">
      <c r="A11" s="4" t="inlineStr">
        <is>
          <t>Sheet guide</t>
        </is>
      </c>
    </row>
    <row r="12" ht="30" customHeight="1">
      <c r="A12" s="3" t="inlineStr">
        <is>
          <t>90-Day Calendar &amp; Tracker — the master sheet. One row per platform-specific post, band-grouped into PLAN (what/who/why), PRODUCTION (status/ownership/pre-publish score), PUBLISHED (when/where it actually went live), and PERFORMANCE (the numbers once it has).</t>
        </is>
      </c>
    </row>
    <row r="13" ht="30" customHeight="1">
      <c r="A13" s="3" t="inlineStr">
        <is>
          <t>Platform Metric Guide — how a Like on one platform compares to a Save on another, so performance is judged fairly across channels.</t>
        </is>
      </c>
    </row>
    <row r="14" ht="30" customHeight="1">
      <c r="A14" s="3" t="inlineStr">
        <is>
          <t>Performance Dashboard — top-line, mostly auto-summarizing rollups pulled from the master sheet.</t>
        </is>
      </c>
    </row>
    <row r="15" ht="15" customHeight="1">
      <c r="A15" s="3" t="inlineStr">
        <is>
          <t>Weekly Themes — the 13-week mindset-ladder map from the Plan, one row per week.</t>
        </is>
      </c>
    </row>
    <row r="16" ht="30" customHeight="1">
      <c r="A16" s="3" t="inlineStr">
        <is>
          <t>Content Mix Tracker — live counts of what's actually shipped, by pillar / format / platform / persona, against the Plan's target mix.</t>
        </is>
      </c>
    </row>
    <row r="17" ht="30" customHeight="1">
      <c r="A17" s="3" t="inlineStr">
        <is>
          <t>Feature to Hook Library — the 3-Layer Method (Feature -&gt; Function -&gt; Benefit) for every real, shippable RetailzPOS feature used in this quarter's content, plus a do-not-market-yet flag row.</t>
        </is>
      </c>
    </row>
    <row r="18" ht="15" customHeight="1">
      <c r="A18" s="3" t="inlineStr">
        <is>
          <t>Blog &amp; SEO Plan — the 13-week anchor blog schedule.</t>
        </is>
      </c>
    </row>
    <row r="19" ht="15" customHeight="1">
      <c r="A19" s="3" t="inlineStr">
        <is>
          <t>Email &amp; Lifecycle — the 4 email sequences and their triggers.</t>
        </is>
      </c>
    </row>
    <row r="20" ht="30" customHeight="1">
      <c r="A20" s="3" t="inlineStr">
        <is>
          <t>Post Grading - Pre — the 10-criterion, 100-point pre-publish scorecard, with the Truth &amp; Claims Accuracy gate.</t>
        </is>
      </c>
    </row>
    <row r="21" ht="30" customHeight="1">
      <c r="A21" s="3" t="inlineStr">
        <is>
          <t>Post Grading - Post — the A/B/C/D post-publish grading system, based on reach vs. 30-day median.</t>
        </is>
      </c>
    </row>
    <row r="22" ht="15" customHeight="1">
      <c r="A22" s="3" t="inlineStr">
        <is>
          <t>Do &amp; Don't — the quick-reference content rules.</t>
        </is>
      </c>
    </row>
    <row r="23" ht="15" customHeight="1">
      <c r="A23" s="3" t="inlineStr">
        <is>
          <t>KPI Tracker — 13-week and monthly rollup against the true-north metric: demo requests.</t>
        </is>
      </c>
    </row>
    <row r="24" ht="15" customHeight="1">
      <c r="A24" s="3" t="inlineStr"/>
    </row>
    <row r="25" ht="15" customHeight="1">
      <c r="A25" s="4" t="inlineStr">
        <is>
          <t>The one rule that overrides everything else in this workbook</t>
        </is>
      </c>
    </row>
    <row r="26" ht="30" customHeight="1">
      <c r="A26" s="3" t="inlineStr">
        <is>
          <t>Pricing is never published. No post, no comment reply, no cell in this workbook should ever contain a dollar figure, a range, or a soft price anchor. See the Do &amp; Don't sheet and Plan Section 2.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58"/>
  <sheetViews>
    <sheetView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7" customWidth="1" min="3" max="3"/>
    <col width="12" customWidth="1" min="4" max="4"/>
    <col width="11" customWidth="1" min="5" max="5"/>
    <col width="9" customWidth="1" min="6" max="6"/>
    <col width="30" customWidth="1" min="7" max="7"/>
    <col width="12" customWidth="1" min="8" max="8"/>
    <col width="11" customWidth="1" min="9" max="9"/>
    <col width="11" customWidth="1" min="10" max="10"/>
    <col width="9" customWidth="1" min="11" max="11"/>
    <col width="34" customWidth="1" min="12" max="12"/>
    <col width="2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  <col width="11" customWidth="1" min="22" max="22"/>
    <col width="12" customWidth="1" min="23" max="23"/>
    <col width="10" customWidth="1" min="24" max="24"/>
    <col width="12" customWidth="1" min="25" max="25"/>
    <col width="14" customWidth="1" min="26" max="26"/>
    <col width="22" customWidth="1" min="27" max="27"/>
    <col width="14" customWidth="1" min="28" max="28"/>
    <col width="9" customWidth="1" min="29" max="29"/>
    <col width="11" customWidth="1" min="30" max="30"/>
    <col width="12" customWidth="1" min="31" max="31"/>
    <col width="10" customWidth="1" min="32" max="32"/>
    <col width="9" customWidth="1" min="33" max="33"/>
    <col width="8" customWidth="1" min="34" max="34"/>
    <col width="11" customWidth="1" min="35" max="35"/>
    <col width="12" customWidth="1" min="36" max="36"/>
    <col width="10" customWidth="1" min="37" max="37"/>
    <col width="12" customWidth="1" min="38" max="38"/>
    <col width="14" customWidth="1" min="39" max="39"/>
    <col width="15" customWidth="1" min="40" max="40"/>
    <col width="10" customWidth="1" min="41" max="41"/>
    <col width="9" customWidth="1" min="42" max="42"/>
    <col width="20" customWidth="1" min="43" max="43"/>
    <col width="17" customWidth="1" min="44" max="44"/>
    <col width="30" customWidth="1" min="45" max="45"/>
  </cols>
  <sheetData>
    <row r="1" ht="24" customHeight="1">
      <c r="A1" s="1" t="inlineStr">
        <is>
          <t>RetailzPOS — 90-Day Calendar &amp; Tracker</t>
        </is>
      </c>
    </row>
    <row r="2">
      <c r="A2" s="2" t="inlineStr">
        <is>
          <t>One row per platform-specific post, exploded from the 89 Content Book units.</t>
        </is>
      </c>
    </row>
    <row r="4">
      <c r="A4" s="5" t="inlineStr">
        <is>
          <t>PLAN</t>
        </is>
      </c>
      <c r="P4" s="6" t="inlineStr">
        <is>
          <t>PRODUCTION</t>
        </is>
      </c>
      <c r="Y4" s="7" t="inlineStr">
        <is>
          <t>PUBLISHED</t>
        </is>
      </c>
      <c r="AC4" s="8" t="inlineStr">
        <is>
          <t>PERFORMANCE</t>
        </is>
      </c>
    </row>
    <row r="5" ht="32" customHeight="1">
      <c r="A5" s="9" t="inlineStr">
        <is>
          <t>Post ID</t>
        </is>
      </c>
      <c r="B5" s="9" t="inlineStr">
        <is>
          <t>Unit ID</t>
        </is>
      </c>
      <c r="C5" s="9" t="inlineStr">
        <is>
          <t>Week</t>
        </is>
      </c>
      <c r="D5" s="9" t="inlineStr">
        <is>
          <t>Publish Date</t>
        </is>
      </c>
      <c r="E5" s="9" t="inlineStr">
        <is>
          <t>Day of Week</t>
        </is>
      </c>
      <c r="F5" s="9" t="inlineStr">
        <is>
          <t>Persona</t>
        </is>
      </c>
      <c r="G5" s="9" t="inlineStr">
        <is>
          <t>Messaging Pillar</t>
        </is>
      </c>
      <c r="H5" s="9" t="inlineStr">
        <is>
          <t>Content Category</t>
        </is>
      </c>
      <c r="I5" s="9" t="inlineStr">
        <is>
          <t>Format Group</t>
        </is>
      </c>
      <c r="J5" s="9" t="inlineStr">
        <is>
          <t>Platform</t>
        </is>
      </c>
      <c r="K5" s="9" t="inlineStr">
        <is>
          <t>Role</t>
        </is>
      </c>
      <c r="L5" s="9" t="inlineStr">
        <is>
          <t>Title / Hook</t>
        </is>
      </c>
      <c r="M5" s="9" t="inlineStr">
        <is>
          <t>CTA Type</t>
        </is>
      </c>
      <c r="N5" s="9" t="inlineStr">
        <is>
          <t>Compliance Review Required</t>
        </is>
      </c>
      <c r="O5" s="9" t="inlineStr">
        <is>
          <t>Rights Clearance Required</t>
        </is>
      </c>
      <c r="P5" s="9" t="inlineStr">
        <is>
          <t>Copy Status</t>
        </is>
      </c>
      <c r="Q5" s="9" t="inlineStr">
        <is>
          <t>Design Status</t>
        </is>
      </c>
      <c r="R5" s="9" t="inlineStr">
        <is>
          <t>Copy Owner</t>
        </is>
      </c>
      <c r="S5" s="9" t="inlineStr">
        <is>
          <t>Design Owner</t>
        </is>
      </c>
      <c r="T5" s="9" t="inlineStr">
        <is>
          <t>Reviewer</t>
        </is>
      </c>
      <c r="U5" s="9" t="inlineStr">
        <is>
          <t>Pre-publish Score (/100)</t>
        </is>
      </c>
      <c r="V5" s="9" t="inlineStr">
        <is>
          <t>Pre-publish Gate Passed</t>
        </is>
      </c>
      <c r="W5" s="9" t="inlineStr">
        <is>
          <t>Scheduled Date</t>
        </is>
      </c>
      <c r="X5" s="9" t="inlineStr">
        <is>
          <t>Scheduled Time</t>
        </is>
      </c>
      <c r="Y5" s="9" t="inlineStr">
        <is>
          <t>Publish Status</t>
        </is>
      </c>
      <c r="Z5" s="9" t="inlineStr">
        <is>
          <t>Actual Publish Date</t>
        </is>
      </c>
      <c r="AA5" s="9" t="inlineStr">
        <is>
          <t>Live URL</t>
        </is>
      </c>
      <c r="AB5" s="9" t="inlineStr">
        <is>
          <t>Published By</t>
        </is>
      </c>
      <c r="AC5" s="9" t="inlineStr">
        <is>
          <t>Reach</t>
        </is>
      </c>
      <c r="AD5" s="9" t="inlineStr">
        <is>
          <t>Impressions</t>
        </is>
      </c>
      <c r="AE5" s="9" t="inlineStr">
        <is>
          <t>Likes/Reactions</t>
        </is>
      </c>
      <c r="AF5" s="9" t="inlineStr">
        <is>
          <t>Comments</t>
        </is>
      </c>
      <c r="AG5" s="9" t="inlineStr">
        <is>
          <t>Shares</t>
        </is>
      </c>
      <c r="AH5" s="9" t="inlineStr">
        <is>
          <t>Saves</t>
        </is>
      </c>
      <c r="AI5" s="9" t="inlineStr">
        <is>
          <t>Video Views</t>
        </is>
      </c>
      <c r="AJ5" s="9" t="inlineStr">
        <is>
          <t>Watch-through %</t>
        </is>
      </c>
      <c r="AK5" s="9" t="inlineStr">
        <is>
          <t>Link Clicks</t>
        </is>
      </c>
      <c r="AL5" s="9" t="inlineStr">
        <is>
          <t>Demo Requests Attributed</t>
        </is>
      </c>
      <c r="AM5" s="9" t="inlineStr">
        <is>
          <t>Boosted (Paid)</t>
        </is>
      </c>
      <c r="AN5" s="9" t="inlineStr">
        <is>
          <t>Normalized Engagement Score</t>
        </is>
      </c>
      <c r="AO5" s="9" t="inlineStr">
        <is>
          <t>30-Day Format Median (Reach)</t>
        </is>
      </c>
      <c r="AP5" s="9" t="inlineStr">
        <is>
          <t>Reach Multiplier</t>
        </is>
      </c>
      <c r="AQ5" s="9" t="inlineStr">
        <is>
          <t>Post Grade</t>
        </is>
      </c>
      <c r="AR5" s="9" t="inlineStr">
        <is>
          <t>Persona Match Confirmed</t>
        </is>
      </c>
      <c r="AS5" s="9" t="inlineStr">
        <is>
          <t>Compliance Sign-off Date</t>
        </is>
      </c>
      <c r="AT5" s="9" t="inlineStr">
        <is>
          <t>Notes / Follow-up</t>
        </is>
      </c>
    </row>
    <row r="6">
      <c r="A6" s="10" t="inlineStr">
        <is>
          <t>PRE-U1-FA</t>
        </is>
      </c>
      <c r="B6" s="10" t="inlineStr">
        <is>
          <t>PRE-U1</t>
        </is>
      </c>
      <c r="C6" s="10" t="inlineStr">
        <is>
          <t>PRE</t>
        </is>
      </c>
      <c r="D6" s="11" t="n">
        <v>46234</v>
      </c>
      <c r="E6" s="10" t="inlineStr">
        <is>
          <t>Friday</t>
        </is>
      </c>
      <c r="F6" s="10" t="inlineStr">
        <is>
          <t>All</t>
        </is>
      </c>
      <c r="G6" s="10" t="inlineStr">
        <is>
          <t>Built for what needs an ID check.</t>
        </is>
      </c>
      <c r="H6" s="10" t="inlineStr">
        <is>
          <t>Promote</t>
        </is>
      </c>
      <c r="I6" s="10" t="inlineStr">
        <is>
          <t>Static</t>
        </is>
      </c>
      <c r="J6" s="10" t="inlineStr">
        <is>
          <t>Facebook</t>
        </is>
      </c>
      <c r="K6" s="10" t="inlineStr">
        <is>
          <t>Primary</t>
        </is>
      </c>
      <c r="L6" s="10" t="inlineStr">
        <is>
          <t>Profile bios go live</t>
        </is>
      </c>
      <c r="M6" s="10" t="inlineStr">
        <is>
          <t>Book a demo</t>
        </is>
      </c>
      <c r="N6" s="10" t="inlineStr">
        <is>
          <t>No</t>
        </is>
      </c>
      <c r="O6" s="10" t="inlineStr">
        <is>
          <t>No</t>
        </is>
      </c>
      <c r="P6" s="10" t="inlineStr">
        <is>
          <t>Not started</t>
        </is>
      </c>
      <c r="Q6" s="10" t="inlineStr">
        <is>
          <t>Not started</t>
        </is>
      </c>
      <c r="R6" s="10" t="inlineStr"/>
      <c r="S6" s="10" t="inlineStr"/>
      <c r="T6" s="10" t="inlineStr"/>
      <c r="U6" s="10" t="n"/>
      <c r="V6" s="10">
        <f>IF(U6="","",IF(U6&gt;=70,"Pass","Hold"))</f>
        <v/>
      </c>
      <c r="W6" s="11" t="n">
        <v>46234</v>
      </c>
      <c r="X6" s="10" t="inlineStr">
        <is>
          <t>10:00 AM</t>
        </is>
      </c>
      <c r="Y6" s="10" t="inlineStr">
        <is>
          <t>Scheduled</t>
        </is>
      </c>
      <c r="Z6" s="11" t="n"/>
      <c r="AA6" s="10" t="inlineStr"/>
      <c r="AB6" s="10" t="inlineStr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inlineStr">
        <is>
          <t>No</t>
        </is>
      </c>
      <c r="AN6" s="10" t="n"/>
      <c r="AO6" s="10" t="n"/>
      <c r="AP6" s="10">
        <f>IF(AND(AC6&lt;&gt;"",AO6&lt;&gt;"",AO6&gt;0),AC6/AO6,"")</f>
        <v/>
      </c>
      <c r="AQ6" s="10">
        <f>IF(AP6="","",IF(AP6&gt;=2,"A",IF(AP6&gt;=1.2,"B",IF(AP6&gt;=0.6,"C","D"))))</f>
        <v/>
      </c>
      <c r="AR6" s="10" t="inlineStr"/>
      <c r="AS6" s="11" t="inlineStr"/>
      <c r="AT6" s="10" t="inlineStr"/>
    </row>
    <row r="7">
      <c r="A7" s="10" t="inlineStr">
        <is>
          <t>PRE-U1-IN</t>
        </is>
      </c>
      <c r="B7" s="10" t="inlineStr">
        <is>
          <t>PRE-U1</t>
        </is>
      </c>
      <c r="C7" s="10" t="inlineStr">
        <is>
          <t>PRE</t>
        </is>
      </c>
      <c r="D7" s="11" t="n">
        <v>46234</v>
      </c>
      <c r="E7" s="10" t="inlineStr">
        <is>
          <t>Friday</t>
        </is>
      </c>
      <c r="F7" s="10" t="inlineStr">
        <is>
          <t>All</t>
        </is>
      </c>
      <c r="G7" s="10" t="inlineStr">
        <is>
          <t>Built for what needs an ID check.</t>
        </is>
      </c>
      <c r="H7" s="10" t="inlineStr">
        <is>
          <t>Promote</t>
        </is>
      </c>
      <c r="I7" s="10" t="inlineStr">
        <is>
          <t>Static</t>
        </is>
      </c>
      <c r="J7" s="10" t="inlineStr">
        <is>
          <t>Instagram</t>
        </is>
      </c>
      <c r="K7" s="10" t="inlineStr">
        <is>
          <t>Primary</t>
        </is>
      </c>
      <c r="L7" s="10" t="inlineStr">
        <is>
          <t>Profile bios go live</t>
        </is>
      </c>
      <c r="M7" s="10" t="inlineStr">
        <is>
          <t>Book a demo</t>
        </is>
      </c>
      <c r="N7" s="10" t="inlineStr">
        <is>
          <t>No</t>
        </is>
      </c>
      <c r="O7" s="10" t="inlineStr">
        <is>
          <t>No</t>
        </is>
      </c>
      <c r="P7" s="10" t="inlineStr">
        <is>
          <t>Not started</t>
        </is>
      </c>
      <c r="Q7" s="10" t="inlineStr">
        <is>
          <t>Not started</t>
        </is>
      </c>
      <c r="R7" s="10" t="inlineStr"/>
      <c r="S7" s="10" t="inlineStr"/>
      <c r="T7" s="10" t="inlineStr"/>
      <c r="U7" s="10" t="n"/>
      <c r="V7" s="10">
        <f>IF(U7="","",IF(U7&gt;=70,"Pass","Hold"))</f>
        <v/>
      </c>
      <c r="W7" s="11" t="n">
        <v>46234</v>
      </c>
      <c r="X7" s="10" t="inlineStr">
        <is>
          <t>10:00 AM</t>
        </is>
      </c>
      <c r="Y7" s="10" t="inlineStr">
        <is>
          <t>Scheduled</t>
        </is>
      </c>
      <c r="Z7" s="11" t="n"/>
      <c r="AA7" s="10" t="inlineStr"/>
      <c r="AB7" s="10" t="inlineStr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inlineStr">
        <is>
          <t>No</t>
        </is>
      </c>
      <c r="AN7" s="10" t="n"/>
      <c r="AO7" s="10" t="n"/>
      <c r="AP7" s="10">
        <f>IF(AND(AC7&lt;&gt;"",AO7&lt;&gt;"",AO7&gt;0),AC7/AO7,"")</f>
        <v/>
      </c>
      <c r="AQ7" s="10">
        <f>IF(AP7="","",IF(AP7&gt;=2,"A",IF(AP7&gt;=1.2,"B",IF(AP7&gt;=0.6,"C","D"))))</f>
        <v/>
      </c>
      <c r="AR7" s="10" t="inlineStr"/>
      <c r="AS7" s="11" t="inlineStr"/>
      <c r="AT7" s="10" t="inlineStr"/>
    </row>
    <row r="8">
      <c r="A8" s="10" t="inlineStr">
        <is>
          <t>PRE-U1-LI</t>
        </is>
      </c>
      <c r="B8" s="10" t="inlineStr">
        <is>
          <t>PRE-U1</t>
        </is>
      </c>
      <c r="C8" s="10" t="inlineStr">
        <is>
          <t>PRE</t>
        </is>
      </c>
      <c r="D8" s="11" t="n">
        <v>46234</v>
      </c>
      <c r="E8" s="10" t="inlineStr">
        <is>
          <t>Friday</t>
        </is>
      </c>
      <c r="F8" s="10" t="inlineStr">
        <is>
          <t>All</t>
        </is>
      </c>
      <c r="G8" s="10" t="inlineStr">
        <is>
          <t>Built for what needs an ID check.</t>
        </is>
      </c>
      <c r="H8" s="10" t="inlineStr">
        <is>
          <t>Promote</t>
        </is>
      </c>
      <c r="I8" s="10" t="inlineStr">
        <is>
          <t>Static</t>
        </is>
      </c>
      <c r="J8" s="10" t="inlineStr">
        <is>
          <t>LinkedIn</t>
        </is>
      </c>
      <c r="K8" s="10" t="inlineStr">
        <is>
          <t>Primary</t>
        </is>
      </c>
      <c r="L8" s="10" t="inlineStr">
        <is>
          <t>Profile bios go live</t>
        </is>
      </c>
      <c r="M8" s="10" t="inlineStr">
        <is>
          <t>Book a demo</t>
        </is>
      </c>
      <c r="N8" s="10" t="inlineStr">
        <is>
          <t>No</t>
        </is>
      </c>
      <c r="O8" s="10" t="inlineStr">
        <is>
          <t>No</t>
        </is>
      </c>
      <c r="P8" s="10" t="inlineStr">
        <is>
          <t>Not started</t>
        </is>
      </c>
      <c r="Q8" s="10" t="inlineStr">
        <is>
          <t>Not started</t>
        </is>
      </c>
      <c r="R8" s="10" t="inlineStr"/>
      <c r="S8" s="10" t="inlineStr"/>
      <c r="T8" s="10" t="inlineStr"/>
      <c r="U8" s="10" t="n"/>
      <c r="V8" s="10">
        <f>IF(U8="","",IF(U8&gt;=70,"Pass","Hold"))</f>
        <v/>
      </c>
      <c r="W8" s="11" t="n">
        <v>46234</v>
      </c>
      <c r="X8" s="10" t="inlineStr">
        <is>
          <t>10:00 AM</t>
        </is>
      </c>
      <c r="Y8" s="10" t="inlineStr">
        <is>
          <t>Scheduled</t>
        </is>
      </c>
      <c r="Z8" s="11" t="n"/>
      <c r="AA8" s="10" t="inlineStr"/>
      <c r="AB8" s="10" t="inlineStr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inlineStr">
        <is>
          <t>No</t>
        </is>
      </c>
      <c r="AN8" s="10" t="n"/>
      <c r="AO8" s="10" t="n"/>
      <c r="AP8" s="10">
        <f>IF(AND(AC8&lt;&gt;"",AO8&lt;&gt;"",AO8&gt;0),AC8/AO8,"")</f>
        <v/>
      </c>
      <c r="AQ8" s="10">
        <f>IF(AP8="","",IF(AP8&gt;=2,"A",IF(AP8&gt;=1.2,"B",IF(AP8&gt;=0.6,"C","D"))))</f>
        <v/>
      </c>
      <c r="AR8" s="10" t="inlineStr"/>
      <c r="AS8" s="11" t="inlineStr"/>
      <c r="AT8" s="10" t="inlineStr"/>
    </row>
    <row r="9">
      <c r="A9" s="10" t="inlineStr">
        <is>
          <t>PRE-U1-TI</t>
        </is>
      </c>
      <c r="B9" s="10" t="inlineStr">
        <is>
          <t>PRE-U1</t>
        </is>
      </c>
      <c r="C9" s="10" t="inlineStr">
        <is>
          <t>PRE</t>
        </is>
      </c>
      <c r="D9" s="11" t="n">
        <v>46234</v>
      </c>
      <c r="E9" s="10" t="inlineStr">
        <is>
          <t>Friday</t>
        </is>
      </c>
      <c r="F9" s="10" t="inlineStr">
        <is>
          <t>All</t>
        </is>
      </c>
      <c r="G9" s="10" t="inlineStr">
        <is>
          <t>Built for what needs an ID check.</t>
        </is>
      </c>
      <c r="H9" s="10" t="inlineStr">
        <is>
          <t>Promote</t>
        </is>
      </c>
      <c r="I9" s="10" t="inlineStr">
        <is>
          <t>Static</t>
        </is>
      </c>
      <c r="J9" s="10" t="inlineStr">
        <is>
          <t>TikTok</t>
        </is>
      </c>
      <c r="K9" s="10" t="inlineStr">
        <is>
          <t>Primary</t>
        </is>
      </c>
      <c r="L9" s="10" t="inlineStr">
        <is>
          <t>Profile bios go live</t>
        </is>
      </c>
      <c r="M9" s="10" t="inlineStr">
        <is>
          <t>Book a demo</t>
        </is>
      </c>
      <c r="N9" s="10" t="inlineStr">
        <is>
          <t>No</t>
        </is>
      </c>
      <c r="O9" s="10" t="inlineStr">
        <is>
          <t>No</t>
        </is>
      </c>
      <c r="P9" s="10" t="inlineStr">
        <is>
          <t>Not started</t>
        </is>
      </c>
      <c r="Q9" s="10" t="inlineStr">
        <is>
          <t>Not started</t>
        </is>
      </c>
      <c r="R9" s="10" t="inlineStr"/>
      <c r="S9" s="10" t="inlineStr"/>
      <c r="T9" s="10" t="inlineStr"/>
      <c r="U9" s="10" t="n"/>
      <c r="V9" s="10">
        <f>IF(U9="","",IF(U9&gt;=70,"Pass","Hold"))</f>
        <v/>
      </c>
      <c r="W9" s="11" t="n">
        <v>46234</v>
      </c>
      <c r="X9" s="10" t="inlineStr">
        <is>
          <t>10:00 AM</t>
        </is>
      </c>
      <c r="Y9" s="10" t="inlineStr">
        <is>
          <t>Scheduled</t>
        </is>
      </c>
      <c r="Z9" s="11" t="n"/>
      <c r="AA9" s="10" t="inlineStr"/>
      <c r="AB9" s="10" t="inlineStr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inlineStr">
        <is>
          <t>No</t>
        </is>
      </c>
      <c r="AN9" s="10" t="n"/>
      <c r="AO9" s="10" t="n"/>
      <c r="AP9" s="10">
        <f>IF(AND(AC9&lt;&gt;"",AO9&lt;&gt;"",AO9&gt;0),AC9/AO9,"")</f>
        <v/>
      </c>
      <c r="AQ9" s="10">
        <f>IF(AP9="","",IF(AP9&gt;=2,"A",IF(AP9&gt;=1.2,"B",IF(AP9&gt;=0.6,"C","D"))))</f>
        <v/>
      </c>
      <c r="AR9" s="10" t="inlineStr"/>
      <c r="AS9" s="11" t="inlineStr"/>
      <c r="AT9" s="10" t="inlineStr"/>
    </row>
    <row r="10">
      <c r="A10" s="10" t="inlineStr">
        <is>
          <t>PRE-U1-X</t>
        </is>
      </c>
      <c r="B10" s="10" t="inlineStr">
        <is>
          <t>PRE-U1</t>
        </is>
      </c>
      <c r="C10" s="10" t="inlineStr">
        <is>
          <t>PRE</t>
        </is>
      </c>
      <c r="D10" s="11" t="n">
        <v>46234</v>
      </c>
      <c r="E10" s="10" t="inlineStr">
        <is>
          <t>Friday</t>
        </is>
      </c>
      <c r="F10" s="10" t="inlineStr">
        <is>
          <t>All</t>
        </is>
      </c>
      <c r="G10" s="10" t="inlineStr">
        <is>
          <t>Built for what needs an ID check.</t>
        </is>
      </c>
      <c r="H10" s="10" t="inlineStr">
        <is>
          <t>Promote</t>
        </is>
      </c>
      <c r="I10" s="10" t="inlineStr">
        <is>
          <t>Static</t>
        </is>
      </c>
      <c r="J10" s="10" t="inlineStr">
        <is>
          <t>X</t>
        </is>
      </c>
      <c r="K10" s="10" t="inlineStr">
        <is>
          <t>Mirror</t>
        </is>
      </c>
      <c r="L10" s="10" t="inlineStr">
        <is>
          <t>Profile bios go live</t>
        </is>
      </c>
      <c r="M10" s="10" t="inlineStr">
        <is>
          <t>Book a demo</t>
        </is>
      </c>
      <c r="N10" s="10" t="inlineStr">
        <is>
          <t>No</t>
        </is>
      </c>
      <c r="O10" s="10" t="inlineStr">
        <is>
          <t>No</t>
        </is>
      </c>
      <c r="P10" s="10" t="inlineStr">
        <is>
          <t>Not started</t>
        </is>
      </c>
      <c r="Q10" s="10" t="inlineStr">
        <is>
          <t>Not started</t>
        </is>
      </c>
      <c r="R10" s="10" t="inlineStr"/>
      <c r="S10" s="10" t="inlineStr"/>
      <c r="T10" s="10" t="inlineStr"/>
      <c r="U10" s="10" t="n"/>
      <c r="V10" s="10">
        <f>IF(U10="","",IF(U10&gt;=70,"Pass","Hold"))</f>
        <v/>
      </c>
      <c r="W10" s="11" t="n">
        <v>46234</v>
      </c>
      <c r="X10" s="10" t="inlineStr">
        <is>
          <t>10:00 AM</t>
        </is>
      </c>
      <c r="Y10" s="10" t="inlineStr">
        <is>
          <t>Scheduled</t>
        </is>
      </c>
      <c r="Z10" s="11" t="n"/>
      <c r="AA10" s="10" t="inlineStr"/>
      <c r="AB10" s="10" t="inlineStr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inlineStr">
        <is>
          <t>No</t>
        </is>
      </c>
      <c r="AN10" s="10" t="n"/>
      <c r="AO10" s="10" t="n"/>
      <c r="AP10" s="10">
        <f>IF(AND(AC10&lt;&gt;"",AO10&lt;&gt;"",AO10&gt;0),AC10/AO10,"")</f>
        <v/>
      </c>
      <c r="AQ10" s="10">
        <f>IF(AP10="","",IF(AP10&gt;=2,"A",IF(AP10&gt;=1.2,"B",IF(AP10&gt;=0.6,"C","D"))))</f>
        <v/>
      </c>
      <c r="AR10" s="10" t="inlineStr"/>
      <c r="AS10" s="11" t="inlineStr"/>
      <c r="AT10" s="10" t="inlineStr"/>
    </row>
    <row r="11">
      <c r="A11" s="10" t="inlineStr">
        <is>
          <t>PRE-U1-TH</t>
        </is>
      </c>
      <c r="B11" s="10" t="inlineStr">
        <is>
          <t>PRE-U1</t>
        </is>
      </c>
      <c r="C11" s="10" t="inlineStr">
        <is>
          <t>PRE</t>
        </is>
      </c>
      <c r="D11" s="11" t="n">
        <v>46234</v>
      </c>
      <c r="E11" s="10" t="inlineStr">
        <is>
          <t>Friday</t>
        </is>
      </c>
      <c r="F11" s="10" t="inlineStr">
        <is>
          <t>All</t>
        </is>
      </c>
      <c r="G11" s="10" t="inlineStr">
        <is>
          <t>Built for what needs an ID check.</t>
        </is>
      </c>
      <c r="H11" s="10" t="inlineStr">
        <is>
          <t>Promote</t>
        </is>
      </c>
      <c r="I11" s="10" t="inlineStr">
        <is>
          <t>Static</t>
        </is>
      </c>
      <c r="J11" s="10" t="inlineStr">
        <is>
          <t>Threads</t>
        </is>
      </c>
      <c r="K11" s="10" t="inlineStr">
        <is>
          <t>Mirror</t>
        </is>
      </c>
      <c r="L11" s="10" t="inlineStr">
        <is>
          <t>Profile bios go live</t>
        </is>
      </c>
      <c r="M11" s="10" t="inlineStr">
        <is>
          <t>Book a demo</t>
        </is>
      </c>
      <c r="N11" s="10" t="inlineStr">
        <is>
          <t>No</t>
        </is>
      </c>
      <c r="O11" s="10" t="inlineStr">
        <is>
          <t>No</t>
        </is>
      </c>
      <c r="P11" s="10" t="inlineStr">
        <is>
          <t>Not started</t>
        </is>
      </c>
      <c r="Q11" s="10" t="inlineStr">
        <is>
          <t>Not started</t>
        </is>
      </c>
      <c r="R11" s="10" t="inlineStr"/>
      <c r="S11" s="10" t="inlineStr"/>
      <c r="T11" s="10" t="inlineStr"/>
      <c r="U11" s="10" t="n"/>
      <c r="V11" s="10">
        <f>IF(U11="","",IF(U11&gt;=70,"Pass","Hold"))</f>
        <v/>
      </c>
      <c r="W11" s="11" t="n">
        <v>46234</v>
      </c>
      <c r="X11" s="10" t="inlineStr">
        <is>
          <t>10:00 AM</t>
        </is>
      </c>
      <c r="Y11" s="10" t="inlineStr">
        <is>
          <t>Scheduled</t>
        </is>
      </c>
      <c r="Z11" s="11" t="n"/>
      <c r="AA11" s="10" t="inlineStr"/>
      <c r="AB11" s="10" t="inlineStr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inlineStr">
        <is>
          <t>No</t>
        </is>
      </c>
      <c r="AN11" s="10" t="n"/>
      <c r="AO11" s="10" t="n"/>
      <c r="AP11" s="10">
        <f>IF(AND(AC11&lt;&gt;"",AO11&lt;&gt;"",AO11&gt;0),AC11/AO11,"")</f>
        <v/>
      </c>
      <c r="AQ11" s="10">
        <f>IF(AP11="","",IF(AP11&gt;=2,"A",IF(AP11&gt;=1.2,"B",IF(AP11&gt;=0.6,"C","D"))))</f>
        <v/>
      </c>
      <c r="AR11" s="10" t="inlineStr"/>
      <c r="AS11" s="11" t="inlineStr"/>
      <c r="AT11" s="10" t="inlineStr"/>
    </row>
    <row r="12">
      <c r="A12" s="10" t="inlineStr">
        <is>
          <t>PRE-U2-LI</t>
        </is>
      </c>
      <c r="B12" s="10" t="inlineStr">
        <is>
          <t>PRE-U2</t>
        </is>
      </c>
      <c r="C12" s="10" t="inlineStr">
        <is>
          <t>PRE</t>
        </is>
      </c>
      <c r="D12" s="11" t="n">
        <v>46235</v>
      </c>
      <c r="E12" s="10" t="inlineStr">
        <is>
          <t>Saturday</t>
        </is>
      </c>
      <c r="F12" s="10" t="inlineStr">
        <is>
          <t>All</t>
        </is>
      </c>
      <c r="G12" s="10" t="inlineStr">
        <is>
          <t>A quote built around your store, not a shelf price.</t>
        </is>
      </c>
      <c r="H12" s="10" t="inlineStr">
        <is>
          <t>Promote</t>
        </is>
      </c>
      <c r="I12" s="10" t="inlineStr">
        <is>
          <t>Static</t>
        </is>
      </c>
      <c r="J12" s="10" t="inlineStr">
        <is>
          <t>LinkedIn</t>
        </is>
      </c>
      <c r="K12" s="10" t="inlineStr">
        <is>
          <t>Primary</t>
        </is>
      </c>
      <c r="L12" s="10" t="inlineStr">
        <is>
          <t>Review-site profiles claimed</t>
        </is>
      </c>
      <c r="M12" s="10" t="inlineStr">
        <is>
          <t>Book a demo</t>
        </is>
      </c>
      <c r="N12" s="10" t="inlineStr">
        <is>
          <t>No</t>
        </is>
      </c>
      <c r="O12" s="10" t="inlineStr">
        <is>
          <t>No</t>
        </is>
      </c>
      <c r="P12" s="10" t="inlineStr">
        <is>
          <t>Not started</t>
        </is>
      </c>
      <c r="Q12" s="10" t="inlineStr">
        <is>
          <t>Not started</t>
        </is>
      </c>
      <c r="R12" s="10" t="inlineStr"/>
      <c r="S12" s="10" t="inlineStr"/>
      <c r="T12" s="10" t="inlineStr"/>
      <c r="U12" s="10" t="n"/>
      <c r="V12" s="10">
        <f>IF(U12="","",IF(U12&gt;=70,"Pass","Hold"))</f>
        <v/>
      </c>
      <c r="W12" s="11" t="n">
        <v>46235</v>
      </c>
      <c r="X12" s="10" t="inlineStr">
        <is>
          <t>10:00 AM</t>
        </is>
      </c>
      <c r="Y12" s="10" t="inlineStr">
        <is>
          <t>Scheduled</t>
        </is>
      </c>
      <c r="Z12" s="11" t="n"/>
      <c r="AA12" s="10" t="inlineStr"/>
      <c r="AB12" s="10" t="inlineStr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inlineStr">
        <is>
          <t>No</t>
        </is>
      </c>
      <c r="AN12" s="10" t="n"/>
      <c r="AO12" s="10" t="n"/>
      <c r="AP12" s="10">
        <f>IF(AND(AC12&lt;&gt;"",AO12&lt;&gt;"",AO12&gt;0),AC12/AO12,"")</f>
        <v/>
      </c>
      <c r="AQ12" s="10">
        <f>IF(AP12="","",IF(AP12&gt;=2,"A",IF(AP12&gt;=1.2,"B",IF(AP12&gt;=0.6,"C","D"))))</f>
        <v/>
      </c>
      <c r="AR12" s="10" t="inlineStr"/>
      <c r="AS12" s="11" t="inlineStr"/>
      <c r="AT12" s="10" t="inlineStr"/>
    </row>
    <row r="13">
      <c r="A13" s="10" t="inlineStr">
        <is>
          <t>PRE-U2-FA</t>
        </is>
      </c>
      <c r="B13" s="10" t="inlineStr">
        <is>
          <t>PRE-U2</t>
        </is>
      </c>
      <c r="C13" s="10" t="inlineStr">
        <is>
          <t>PRE</t>
        </is>
      </c>
      <c r="D13" s="11" t="n">
        <v>46235</v>
      </c>
      <c r="E13" s="10" t="inlineStr">
        <is>
          <t>Saturday</t>
        </is>
      </c>
      <c r="F13" s="10" t="inlineStr">
        <is>
          <t>All</t>
        </is>
      </c>
      <c r="G13" s="10" t="inlineStr">
        <is>
          <t>A quote built around your store, not a shelf price.</t>
        </is>
      </c>
      <c r="H13" s="10" t="inlineStr">
        <is>
          <t>Promote</t>
        </is>
      </c>
      <c r="I13" s="10" t="inlineStr">
        <is>
          <t>Static</t>
        </is>
      </c>
      <c r="J13" s="10" t="inlineStr">
        <is>
          <t>Facebook</t>
        </is>
      </c>
      <c r="K13" s="10" t="inlineStr">
        <is>
          <t>Mirror</t>
        </is>
      </c>
      <c r="L13" s="10" t="inlineStr">
        <is>
          <t>Review-site profiles claimed</t>
        </is>
      </c>
      <c r="M13" s="10" t="inlineStr">
        <is>
          <t>Book a demo</t>
        </is>
      </c>
      <c r="N13" s="10" t="inlineStr">
        <is>
          <t>No</t>
        </is>
      </c>
      <c r="O13" s="10" t="inlineStr">
        <is>
          <t>No</t>
        </is>
      </c>
      <c r="P13" s="10" t="inlineStr">
        <is>
          <t>Not started</t>
        </is>
      </c>
      <c r="Q13" s="10" t="inlineStr">
        <is>
          <t>Not started</t>
        </is>
      </c>
      <c r="R13" s="10" t="inlineStr"/>
      <c r="S13" s="10" t="inlineStr"/>
      <c r="T13" s="10" t="inlineStr"/>
      <c r="U13" s="10" t="n"/>
      <c r="V13" s="10">
        <f>IF(U13="","",IF(U13&gt;=70,"Pass","Hold"))</f>
        <v/>
      </c>
      <c r="W13" s="11" t="n">
        <v>46235</v>
      </c>
      <c r="X13" s="10" t="inlineStr">
        <is>
          <t>10:00 AM</t>
        </is>
      </c>
      <c r="Y13" s="10" t="inlineStr">
        <is>
          <t>Scheduled</t>
        </is>
      </c>
      <c r="Z13" s="11" t="n"/>
      <c r="AA13" s="10" t="inlineStr"/>
      <c r="AB13" s="10" t="inlineStr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inlineStr">
        <is>
          <t>No</t>
        </is>
      </c>
      <c r="AN13" s="10" t="n"/>
      <c r="AO13" s="10" t="n"/>
      <c r="AP13" s="10">
        <f>IF(AND(AC13&lt;&gt;"",AO13&lt;&gt;"",AO13&gt;0),AC13/AO13,"")</f>
        <v/>
      </c>
      <c r="AQ13" s="10">
        <f>IF(AP13="","",IF(AP13&gt;=2,"A",IF(AP13&gt;=1.2,"B",IF(AP13&gt;=0.6,"C","D"))))</f>
        <v/>
      </c>
      <c r="AR13" s="10" t="inlineStr"/>
      <c r="AS13" s="11" t="inlineStr"/>
      <c r="AT13" s="10" t="inlineStr"/>
    </row>
    <row r="14">
      <c r="A14" s="10" t="inlineStr">
        <is>
          <t>PRE-U2-IN</t>
        </is>
      </c>
      <c r="B14" s="10" t="inlineStr">
        <is>
          <t>PRE-U2</t>
        </is>
      </c>
      <c r="C14" s="10" t="inlineStr">
        <is>
          <t>PRE</t>
        </is>
      </c>
      <c r="D14" s="11" t="n">
        <v>46235</v>
      </c>
      <c r="E14" s="10" t="inlineStr">
        <is>
          <t>Saturday</t>
        </is>
      </c>
      <c r="F14" s="10" t="inlineStr">
        <is>
          <t>All</t>
        </is>
      </c>
      <c r="G14" s="10" t="inlineStr">
        <is>
          <t>A quote built around your store, not a shelf price.</t>
        </is>
      </c>
      <c r="H14" s="10" t="inlineStr">
        <is>
          <t>Promote</t>
        </is>
      </c>
      <c r="I14" s="10" t="inlineStr">
        <is>
          <t>Static</t>
        </is>
      </c>
      <c r="J14" s="10" t="inlineStr">
        <is>
          <t>Instagram</t>
        </is>
      </c>
      <c r="K14" s="10" t="inlineStr">
        <is>
          <t>Adapted</t>
        </is>
      </c>
      <c r="L14" s="10" t="inlineStr">
        <is>
          <t>Review-site profiles claimed</t>
        </is>
      </c>
      <c r="M14" s="10" t="inlineStr">
        <is>
          <t>Book a demo</t>
        </is>
      </c>
      <c r="N14" s="10" t="inlineStr">
        <is>
          <t>No</t>
        </is>
      </c>
      <c r="O14" s="10" t="inlineStr">
        <is>
          <t>No</t>
        </is>
      </c>
      <c r="P14" s="10" t="inlineStr">
        <is>
          <t>Not started</t>
        </is>
      </c>
      <c r="Q14" s="10" t="inlineStr">
        <is>
          <t>Not started</t>
        </is>
      </c>
      <c r="R14" s="10" t="inlineStr"/>
      <c r="S14" s="10" t="inlineStr"/>
      <c r="T14" s="10" t="inlineStr"/>
      <c r="U14" s="10" t="n"/>
      <c r="V14" s="10">
        <f>IF(U14="","",IF(U14&gt;=70,"Pass","Hold"))</f>
        <v/>
      </c>
      <c r="W14" s="11" t="n">
        <v>46235</v>
      </c>
      <c r="X14" s="10" t="inlineStr">
        <is>
          <t>10:00 AM</t>
        </is>
      </c>
      <c r="Y14" s="10" t="inlineStr">
        <is>
          <t>Scheduled</t>
        </is>
      </c>
      <c r="Z14" s="11" t="n"/>
      <c r="AA14" s="10" t="inlineStr"/>
      <c r="AB14" s="10" t="inlineStr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inlineStr">
        <is>
          <t>No</t>
        </is>
      </c>
      <c r="AN14" s="10" t="n"/>
      <c r="AO14" s="10" t="n"/>
      <c r="AP14" s="10">
        <f>IF(AND(AC14&lt;&gt;"",AO14&lt;&gt;"",AO14&gt;0),AC14/AO14,"")</f>
        <v/>
      </c>
      <c r="AQ14" s="10">
        <f>IF(AP14="","",IF(AP14&gt;=2,"A",IF(AP14&gt;=1.2,"B",IF(AP14&gt;=0.6,"C","D"))))</f>
        <v/>
      </c>
      <c r="AR14" s="10" t="inlineStr"/>
      <c r="AS14" s="11" t="inlineStr"/>
      <c r="AT14" s="10" t="inlineStr"/>
    </row>
    <row r="15">
      <c r="A15" s="10" t="inlineStr">
        <is>
          <t>PRE-U3-TI</t>
        </is>
      </c>
      <c r="B15" s="10" t="inlineStr">
        <is>
          <t>PRE-U3</t>
        </is>
      </c>
      <c r="C15" s="10" t="inlineStr">
        <is>
          <t>PRE</t>
        </is>
      </c>
      <c r="D15" s="11" t="n">
        <v>46236</v>
      </c>
      <c r="E15" s="10" t="inlineStr">
        <is>
          <t>Sunday</t>
        </is>
      </c>
      <c r="F15" s="10" t="inlineStr">
        <is>
          <t>All</t>
        </is>
      </c>
      <c r="G15" s="10" t="inlineStr">
        <is>
          <t>Built for what needs an ID check.</t>
        </is>
      </c>
      <c r="H15" s="10" t="inlineStr">
        <is>
          <t>Promote</t>
        </is>
      </c>
      <c r="I15" s="10" t="inlineStr">
        <is>
          <t>Video</t>
        </is>
      </c>
      <c r="J15" s="10" t="inlineStr">
        <is>
          <t>TikTok</t>
        </is>
      </c>
      <c r="K15" s="10" t="inlineStr">
        <is>
          <t>Primary</t>
        </is>
      </c>
      <c r="L15" s="10" t="inlineStr">
        <is>
          <t>Product tour teaser</t>
        </is>
      </c>
      <c r="M15" s="10" t="inlineStr">
        <is>
          <t>Book a demo</t>
        </is>
      </c>
      <c r="N15" s="10" t="inlineStr">
        <is>
          <t>No</t>
        </is>
      </c>
      <c r="O15" s="10" t="inlineStr">
        <is>
          <t>No</t>
        </is>
      </c>
      <c r="P15" s="10" t="inlineStr">
        <is>
          <t>Not started</t>
        </is>
      </c>
      <c r="Q15" s="10" t="inlineStr">
        <is>
          <t>Not started</t>
        </is>
      </c>
      <c r="R15" s="10" t="inlineStr"/>
      <c r="S15" s="10" t="inlineStr"/>
      <c r="T15" s="10" t="inlineStr"/>
      <c r="U15" s="10" t="n"/>
      <c r="V15" s="10">
        <f>IF(U15="","",IF(U15&gt;=70,"Pass","Hold"))</f>
        <v/>
      </c>
      <c r="W15" s="11" t="n">
        <v>46236</v>
      </c>
      <c r="X15" s="10" t="inlineStr">
        <is>
          <t>10:00 AM</t>
        </is>
      </c>
      <c r="Y15" s="10" t="inlineStr">
        <is>
          <t>Scheduled</t>
        </is>
      </c>
      <c r="Z15" s="11" t="n"/>
      <c r="AA15" s="10" t="inlineStr"/>
      <c r="AB15" s="10" t="inlineStr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inlineStr">
        <is>
          <t>No</t>
        </is>
      </c>
      <c r="AN15" s="10" t="n"/>
      <c r="AO15" s="10" t="n"/>
      <c r="AP15" s="10">
        <f>IF(AND(AC15&lt;&gt;"",AO15&lt;&gt;"",AO15&gt;0),AC15/AO15,"")</f>
        <v/>
      </c>
      <c r="AQ15" s="10">
        <f>IF(AP15="","",IF(AP15&gt;=2,"A",IF(AP15&gt;=1.2,"B",IF(AP15&gt;=0.6,"C","D"))))</f>
        <v/>
      </c>
      <c r="AR15" s="10" t="inlineStr"/>
      <c r="AS15" s="11" t="inlineStr"/>
      <c r="AT15" s="10" t="inlineStr"/>
    </row>
    <row r="16">
      <c r="A16" s="10" t="inlineStr">
        <is>
          <t>PRE-U3-IN</t>
        </is>
      </c>
      <c r="B16" s="10" t="inlineStr">
        <is>
          <t>PRE-U3</t>
        </is>
      </c>
      <c r="C16" s="10" t="inlineStr">
        <is>
          <t>PRE</t>
        </is>
      </c>
      <c r="D16" s="11" t="n">
        <v>46236</v>
      </c>
      <c r="E16" s="10" t="inlineStr">
        <is>
          <t>Sunday</t>
        </is>
      </c>
      <c r="F16" s="10" t="inlineStr">
        <is>
          <t>All</t>
        </is>
      </c>
      <c r="G16" s="10" t="inlineStr">
        <is>
          <t>Built for what needs an ID check.</t>
        </is>
      </c>
      <c r="H16" s="10" t="inlineStr">
        <is>
          <t>Promote</t>
        </is>
      </c>
      <c r="I16" s="10" t="inlineStr">
        <is>
          <t>Video</t>
        </is>
      </c>
      <c r="J16" s="10" t="inlineStr">
        <is>
          <t>Instagram</t>
        </is>
      </c>
      <c r="K16" s="10" t="inlineStr">
        <is>
          <t>Mirror</t>
        </is>
      </c>
      <c r="L16" s="10" t="inlineStr">
        <is>
          <t>Product tour teaser</t>
        </is>
      </c>
      <c r="M16" s="10" t="inlineStr">
        <is>
          <t>Book a demo</t>
        </is>
      </c>
      <c r="N16" s="10" t="inlineStr">
        <is>
          <t>No</t>
        </is>
      </c>
      <c r="O16" s="10" t="inlineStr">
        <is>
          <t>No</t>
        </is>
      </c>
      <c r="P16" s="10" t="inlineStr">
        <is>
          <t>Not started</t>
        </is>
      </c>
      <c r="Q16" s="10" t="inlineStr">
        <is>
          <t>Not started</t>
        </is>
      </c>
      <c r="R16" s="10" t="inlineStr"/>
      <c r="S16" s="10" t="inlineStr"/>
      <c r="T16" s="10" t="inlineStr"/>
      <c r="U16" s="10" t="n"/>
      <c r="V16" s="10">
        <f>IF(U16="","",IF(U16&gt;=70,"Pass","Hold"))</f>
        <v/>
      </c>
      <c r="W16" s="11" t="n">
        <v>46236</v>
      </c>
      <c r="X16" s="10" t="inlineStr">
        <is>
          <t>10:00 AM</t>
        </is>
      </c>
      <c r="Y16" s="10" t="inlineStr">
        <is>
          <t>Scheduled</t>
        </is>
      </c>
      <c r="Z16" s="11" t="n"/>
      <c r="AA16" s="10" t="inlineStr"/>
      <c r="AB16" s="10" t="inlineStr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inlineStr">
        <is>
          <t>No</t>
        </is>
      </c>
      <c r="AN16" s="10" t="n"/>
      <c r="AO16" s="10" t="n"/>
      <c r="AP16" s="10">
        <f>IF(AND(AC16&lt;&gt;"",AO16&lt;&gt;"",AO16&gt;0),AC16/AO16,"")</f>
        <v/>
      </c>
      <c r="AQ16" s="10">
        <f>IF(AP16="","",IF(AP16&gt;=2,"A",IF(AP16&gt;=1.2,"B",IF(AP16&gt;=0.6,"C","D"))))</f>
        <v/>
      </c>
      <c r="AR16" s="10" t="inlineStr"/>
      <c r="AS16" s="11" t="inlineStr"/>
      <c r="AT16" s="10" t="inlineStr"/>
    </row>
    <row r="17">
      <c r="A17" s="10" t="inlineStr">
        <is>
          <t>PRE-U4-LI</t>
        </is>
      </c>
      <c r="B17" s="10" t="inlineStr">
        <is>
          <t>PRE-U4</t>
        </is>
      </c>
      <c r="C17" s="10" t="inlineStr">
        <is>
          <t>PRE</t>
        </is>
      </c>
      <c r="D17" s="11" t="n">
        <v>46236</v>
      </c>
      <c r="E17" s="10" t="inlineStr">
        <is>
          <t>Sunday</t>
        </is>
      </c>
      <c r="F17" s="10" t="inlineStr">
        <is>
          <t>All</t>
        </is>
      </c>
      <c r="G17" s="10" t="inlineStr">
        <is>
          <t>Built for what needs an ID check.</t>
        </is>
      </c>
      <c r="H17" s="10" t="inlineStr">
        <is>
          <t>Educate</t>
        </is>
      </c>
      <c r="I17" s="10" t="inlineStr">
        <is>
          <t>Static</t>
        </is>
      </c>
      <c r="J17" s="10" t="inlineStr">
        <is>
          <t>LinkedIn</t>
        </is>
      </c>
      <c r="K17" s="10" t="inlineStr">
        <is>
          <t>Primary</t>
        </is>
      </c>
      <c r="L17" s="10" t="inlineStr">
        <is>
          <t>What's Included page goes live</t>
        </is>
      </c>
      <c r="M17" s="10" t="inlineStr">
        <is>
          <t>Read more (link)</t>
        </is>
      </c>
      <c r="N17" s="10" t="inlineStr">
        <is>
          <t>No</t>
        </is>
      </c>
      <c r="O17" s="10" t="inlineStr">
        <is>
          <t>No</t>
        </is>
      </c>
      <c r="P17" s="10" t="inlineStr">
        <is>
          <t>Not started</t>
        </is>
      </c>
      <c r="Q17" s="10" t="inlineStr">
        <is>
          <t>Not started</t>
        </is>
      </c>
      <c r="R17" s="10" t="inlineStr"/>
      <c r="S17" s="10" t="inlineStr"/>
      <c r="T17" s="10" t="inlineStr"/>
      <c r="U17" s="10" t="n"/>
      <c r="V17" s="10">
        <f>IF(U17="","",IF(U17&gt;=70,"Pass","Hold"))</f>
        <v/>
      </c>
      <c r="W17" s="11" t="n">
        <v>46236</v>
      </c>
      <c r="X17" s="10" t="inlineStr">
        <is>
          <t>10:00 AM</t>
        </is>
      </c>
      <c r="Y17" s="10" t="inlineStr">
        <is>
          <t>Scheduled</t>
        </is>
      </c>
      <c r="Z17" s="11" t="n"/>
      <c r="AA17" s="10" t="inlineStr"/>
      <c r="AB17" s="10" t="inlineStr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inlineStr">
        <is>
          <t>No</t>
        </is>
      </c>
      <c r="AN17" s="10" t="n"/>
      <c r="AO17" s="10" t="n"/>
      <c r="AP17" s="10">
        <f>IF(AND(AC17&lt;&gt;"",AO17&lt;&gt;"",AO17&gt;0),AC17/AO17,"")</f>
        <v/>
      </c>
      <c r="AQ17" s="10">
        <f>IF(AP17="","",IF(AP17&gt;=2,"A",IF(AP17&gt;=1.2,"B",IF(AP17&gt;=0.6,"C","D"))))</f>
        <v/>
      </c>
      <c r="AR17" s="10" t="inlineStr"/>
      <c r="AS17" s="11" t="inlineStr"/>
      <c r="AT17" s="10" t="inlineStr"/>
    </row>
    <row r="18">
      <c r="A18" s="10" t="inlineStr">
        <is>
          <t>PRE-U4-FA</t>
        </is>
      </c>
      <c r="B18" s="10" t="inlineStr">
        <is>
          <t>PRE-U4</t>
        </is>
      </c>
      <c r="C18" s="10" t="inlineStr">
        <is>
          <t>PRE</t>
        </is>
      </c>
      <c r="D18" s="11" t="n">
        <v>46236</v>
      </c>
      <c r="E18" s="10" t="inlineStr">
        <is>
          <t>Sunday</t>
        </is>
      </c>
      <c r="F18" s="10" t="inlineStr">
        <is>
          <t>All</t>
        </is>
      </c>
      <c r="G18" s="10" t="inlineStr">
        <is>
          <t>Built for what needs an ID check.</t>
        </is>
      </c>
      <c r="H18" s="10" t="inlineStr">
        <is>
          <t>Educate</t>
        </is>
      </c>
      <c r="I18" s="10" t="inlineStr">
        <is>
          <t>Static</t>
        </is>
      </c>
      <c r="J18" s="10" t="inlineStr">
        <is>
          <t>Facebook</t>
        </is>
      </c>
      <c r="K18" s="10" t="inlineStr">
        <is>
          <t>Mirror</t>
        </is>
      </c>
      <c r="L18" s="10" t="inlineStr">
        <is>
          <t>What's Included page goes live</t>
        </is>
      </c>
      <c r="M18" s="10" t="inlineStr">
        <is>
          <t>Read more (link)</t>
        </is>
      </c>
      <c r="N18" s="10" t="inlineStr">
        <is>
          <t>No</t>
        </is>
      </c>
      <c r="O18" s="10" t="inlineStr">
        <is>
          <t>No</t>
        </is>
      </c>
      <c r="P18" s="10" t="inlineStr">
        <is>
          <t>Not started</t>
        </is>
      </c>
      <c r="Q18" s="10" t="inlineStr">
        <is>
          <t>Not started</t>
        </is>
      </c>
      <c r="R18" s="10" t="inlineStr"/>
      <c r="S18" s="10" t="inlineStr"/>
      <c r="T18" s="10" t="inlineStr"/>
      <c r="U18" s="10" t="n"/>
      <c r="V18" s="10">
        <f>IF(U18="","",IF(U18&gt;=70,"Pass","Hold"))</f>
        <v/>
      </c>
      <c r="W18" s="11" t="n">
        <v>46236</v>
      </c>
      <c r="X18" s="10" t="inlineStr">
        <is>
          <t>10:00 AM</t>
        </is>
      </c>
      <c r="Y18" s="10" t="inlineStr">
        <is>
          <t>Scheduled</t>
        </is>
      </c>
      <c r="Z18" s="11" t="n"/>
      <c r="AA18" s="10" t="inlineStr"/>
      <c r="AB18" s="10" t="inlineStr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inlineStr">
        <is>
          <t>No</t>
        </is>
      </c>
      <c r="AN18" s="10" t="n"/>
      <c r="AO18" s="10" t="n"/>
      <c r="AP18" s="10">
        <f>IF(AND(AC18&lt;&gt;"",AO18&lt;&gt;"",AO18&gt;0),AC18/AO18,"")</f>
        <v/>
      </c>
      <c r="AQ18" s="10">
        <f>IF(AP18="","",IF(AP18&gt;=2,"A",IF(AP18&gt;=1.2,"B",IF(AP18&gt;=0.6,"C","D"))))</f>
        <v/>
      </c>
      <c r="AR18" s="10" t="inlineStr"/>
      <c r="AS18" s="11" t="inlineStr"/>
      <c r="AT18" s="10" t="inlineStr"/>
    </row>
    <row r="19">
      <c r="A19" s="10" t="inlineStr">
        <is>
          <t>PRE-U4-X</t>
        </is>
      </c>
      <c r="B19" s="10" t="inlineStr">
        <is>
          <t>PRE-U4</t>
        </is>
      </c>
      <c r="C19" s="10" t="inlineStr">
        <is>
          <t>PRE</t>
        </is>
      </c>
      <c r="D19" s="11" t="n">
        <v>46236</v>
      </c>
      <c r="E19" s="10" t="inlineStr">
        <is>
          <t>Sunday</t>
        </is>
      </c>
      <c r="F19" s="10" t="inlineStr">
        <is>
          <t>All</t>
        </is>
      </c>
      <c r="G19" s="10" t="inlineStr">
        <is>
          <t>Built for what needs an ID check.</t>
        </is>
      </c>
      <c r="H19" s="10" t="inlineStr">
        <is>
          <t>Educate</t>
        </is>
      </c>
      <c r="I19" s="10" t="inlineStr">
        <is>
          <t>Static</t>
        </is>
      </c>
      <c r="J19" s="10" t="inlineStr">
        <is>
          <t>X</t>
        </is>
      </c>
      <c r="K19" s="10" t="inlineStr">
        <is>
          <t>Mirror</t>
        </is>
      </c>
      <c r="L19" s="10" t="inlineStr">
        <is>
          <t>What's Included page goes live</t>
        </is>
      </c>
      <c r="M19" s="10" t="inlineStr">
        <is>
          <t>Read more (link)</t>
        </is>
      </c>
      <c r="N19" s="10" t="inlineStr">
        <is>
          <t>No</t>
        </is>
      </c>
      <c r="O19" s="10" t="inlineStr">
        <is>
          <t>No</t>
        </is>
      </c>
      <c r="P19" s="10" t="inlineStr">
        <is>
          <t>Not started</t>
        </is>
      </c>
      <c r="Q19" s="10" t="inlineStr">
        <is>
          <t>Not started</t>
        </is>
      </c>
      <c r="R19" s="10" t="inlineStr"/>
      <c r="S19" s="10" t="inlineStr"/>
      <c r="T19" s="10" t="inlineStr"/>
      <c r="U19" s="10" t="n"/>
      <c r="V19" s="10">
        <f>IF(U19="","",IF(U19&gt;=70,"Pass","Hold"))</f>
        <v/>
      </c>
      <c r="W19" s="11" t="n">
        <v>46236</v>
      </c>
      <c r="X19" s="10" t="inlineStr">
        <is>
          <t>10:00 AM</t>
        </is>
      </c>
      <c r="Y19" s="10" t="inlineStr">
        <is>
          <t>Scheduled</t>
        </is>
      </c>
      <c r="Z19" s="11" t="n"/>
      <c r="AA19" s="10" t="inlineStr"/>
      <c r="AB19" s="10" t="inlineStr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inlineStr">
        <is>
          <t>No</t>
        </is>
      </c>
      <c r="AN19" s="10" t="n"/>
      <c r="AO19" s="10" t="n"/>
      <c r="AP19" s="10">
        <f>IF(AND(AC19&lt;&gt;"",AO19&lt;&gt;"",AO19&gt;0),AC19/AO19,"")</f>
        <v/>
      </c>
      <c r="AQ19" s="10">
        <f>IF(AP19="","",IF(AP19&gt;=2,"A",IF(AP19&gt;=1.2,"B",IF(AP19&gt;=0.6,"C","D"))))</f>
        <v/>
      </c>
      <c r="AR19" s="10" t="inlineStr"/>
      <c r="AS19" s="11" t="inlineStr"/>
      <c r="AT19" s="10" t="inlineStr"/>
    </row>
    <row r="20">
      <c r="A20" s="10" t="inlineStr">
        <is>
          <t>PRE-U5-FA</t>
        </is>
      </c>
      <c r="B20" s="10" t="inlineStr">
        <is>
          <t>PRE-U5</t>
        </is>
      </c>
      <c r="C20" s="10" t="inlineStr">
        <is>
          <t>PRE</t>
        </is>
      </c>
      <c r="D20" s="11" t="n">
        <v>46237</v>
      </c>
      <c r="E20" s="10" t="inlineStr">
        <is>
          <t>Monday</t>
        </is>
      </c>
      <c r="F20" s="10" t="inlineStr">
        <is>
          <t>All</t>
        </is>
      </c>
      <c r="G20" s="10" t="inlineStr">
        <is>
          <t>A quote built around your store, not a shelf price.</t>
        </is>
      </c>
      <c r="H20" s="10" t="inlineStr">
        <is>
          <t>Engage</t>
        </is>
      </c>
      <c r="I20" s="10" t="inlineStr">
        <is>
          <t>Static</t>
        </is>
      </c>
      <c r="J20" s="10" t="inlineStr">
        <is>
          <t>Facebook</t>
        </is>
      </c>
      <c r="K20" s="10" t="inlineStr">
        <is>
          <t>Primary</t>
        </is>
      </c>
      <c r="L20" s="10" t="inlineStr">
        <is>
          <t>The pricing-question post, pinned</t>
        </is>
      </c>
      <c r="M20" s="10" t="inlineStr">
        <is>
          <t>Comment or DM for a call</t>
        </is>
      </c>
      <c r="N20" s="10" t="inlineStr">
        <is>
          <t>No</t>
        </is>
      </c>
      <c r="O20" s="10" t="inlineStr">
        <is>
          <t>No</t>
        </is>
      </c>
      <c r="P20" s="10" t="inlineStr">
        <is>
          <t>Not started</t>
        </is>
      </c>
      <c r="Q20" s="10" t="inlineStr">
        <is>
          <t>Not started</t>
        </is>
      </c>
      <c r="R20" s="10" t="inlineStr"/>
      <c r="S20" s="10" t="inlineStr"/>
      <c r="T20" s="10" t="inlineStr"/>
      <c r="U20" s="10" t="n"/>
      <c r="V20" s="10">
        <f>IF(U20="","",IF(U20&gt;=70,"Pass","Hold"))</f>
        <v/>
      </c>
      <c r="W20" s="11" t="n">
        <v>46237</v>
      </c>
      <c r="X20" s="10" t="inlineStr">
        <is>
          <t>10:00 AM</t>
        </is>
      </c>
      <c r="Y20" s="10" t="inlineStr">
        <is>
          <t>Scheduled</t>
        </is>
      </c>
      <c r="Z20" s="11" t="n"/>
      <c r="AA20" s="10" t="inlineStr"/>
      <c r="AB20" s="10" t="inlineStr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/>
      <c r="AM20" s="10" t="inlineStr">
        <is>
          <t>No</t>
        </is>
      </c>
      <c r="AN20" s="10" t="n"/>
      <c r="AO20" s="10" t="n"/>
      <c r="AP20" s="10">
        <f>IF(AND(AC20&lt;&gt;"",AO20&lt;&gt;"",AO20&gt;0),AC20/AO20,"")</f>
        <v/>
      </c>
      <c r="AQ20" s="10">
        <f>IF(AP20="","",IF(AP20&gt;=2,"A",IF(AP20&gt;=1.2,"B",IF(AP20&gt;=0.6,"C","D"))))</f>
        <v/>
      </c>
      <c r="AR20" s="10" t="inlineStr"/>
      <c r="AS20" s="11" t="inlineStr"/>
      <c r="AT20" s="10" t="inlineStr"/>
    </row>
    <row r="21">
      <c r="A21" s="10" t="inlineStr">
        <is>
          <t>PRE-U5-IN</t>
        </is>
      </c>
      <c r="B21" s="10" t="inlineStr">
        <is>
          <t>PRE-U5</t>
        </is>
      </c>
      <c r="C21" s="10" t="inlineStr">
        <is>
          <t>PRE</t>
        </is>
      </c>
      <c r="D21" s="11" t="n">
        <v>46237</v>
      </c>
      <c r="E21" s="10" t="inlineStr">
        <is>
          <t>Monday</t>
        </is>
      </c>
      <c r="F21" s="10" t="inlineStr">
        <is>
          <t>All</t>
        </is>
      </c>
      <c r="G21" s="10" t="inlineStr">
        <is>
          <t>A quote built around your store, not a shelf price.</t>
        </is>
      </c>
      <c r="H21" s="10" t="inlineStr">
        <is>
          <t>Engage</t>
        </is>
      </c>
      <c r="I21" s="10" t="inlineStr">
        <is>
          <t>Static</t>
        </is>
      </c>
      <c r="J21" s="10" t="inlineStr">
        <is>
          <t>Instagram</t>
        </is>
      </c>
      <c r="K21" s="10" t="inlineStr">
        <is>
          <t>Primary</t>
        </is>
      </c>
      <c r="L21" s="10" t="inlineStr">
        <is>
          <t>The pricing-question post, pinned</t>
        </is>
      </c>
      <c r="M21" s="10" t="inlineStr">
        <is>
          <t>Comment or DM for a call</t>
        </is>
      </c>
      <c r="N21" s="10" t="inlineStr">
        <is>
          <t>No</t>
        </is>
      </c>
      <c r="O21" s="10" t="inlineStr">
        <is>
          <t>No</t>
        </is>
      </c>
      <c r="P21" s="10" t="inlineStr">
        <is>
          <t>Not started</t>
        </is>
      </c>
      <c r="Q21" s="10" t="inlineStr">
        <is>
          <t>Not started</t>
        </is>
      </c>
      <c r="R21" s="10" t="inlineStr"/>
      <c r="S21" s="10" t="inlineStr"/>
      <c r="T21" s="10" t="inlineStr"/>
      <c r="U21" s="10" t="n"/>
      <c r="V21" s="10">
        <f>IF(U21="","",IF(U21&gt;=70,"Pass","Hold"))</f>
        <v/>
      </c>
      <c r="W21" s="11" t="n">
        <v>46237</v>
      </c>
      <c r="X21" s="10" t="inlineStr">
        <is>
          <t>10:00 AM</t>
        </is>
      </c>
      <c r="Y21" s="10" t="inlineStr">
        <is>
          <t>Scheduled</t>
        </is>
      </c>
      <c r="Z21" s="11" t="n"/>
      <c r="AA21" s="10" t="inlineStr"/>
      <c r="AB21" s="10" t="inlineStr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/>
      <c r="AM21" s="10" t="inlineStr">
        <is>
          <t>No</t>
        </is>
      </c>
      <c r="AN21" s="10" t="n"/>
      <c r="AO21" s="10" t="n"/>
      <c r="AP21" s="10">
        <f>IF(AND(AC21&lt;&gt;"",AO21&lt;&gt;"",AO21&gt;0),AC21/AO21,"")</f>
        <v/>
      </c>
      <c r="AQ21" s="10">
        <f>IF(AP21="","",IF(AP21&gt;=2,"A",IF(AP21&gt;=1.2,"B",IF(AP21&gt;=0.6,"C","D"))))</f>
        <v/>
      </c>
      <c r="AR21" s="10" t="inlineStr"/>
      <c r="AS21" s="11" t="inlineStr"/>
      <c r="AT21" s="10" t="inlineStr"/>
    </row>
    <row r="22">
      <c r="A22" s="10" t="inlineStr">
        <is>
          <t>PRE-U5-LI</t>
        </is>
      </c>
      <c r="B22" s="10" t="inlineStr">
        <is>
          <t>PRE-U5</t>
        </is>
      </c>
      <c r="C22" s="10" t="inlineStr">
        <is>
          <t>PRE</t>
        </is>
      </c>
      <c r="D22" s="11" t="n">
        <v>46237</v>
      </c>
      <c r="E22" s="10" t="inlineStr">
        <is>
          <t>Monday</t>
        </is>
      </c>
      <c r="F22" s="10" t="inlineStr">
        <is>
          <t>All</t>
        </is>
      </c>
      <c r="G22" s="10" t="inlineStr">
        <is>
          <t>A quote built around your store, not a shelf price.</t>
        </is>
      </c>
      <c r="H22" s="10" t="inlineStr">
        <is>
          <t>Engage</t>
        </is>
      </c>
      <c r="I22" s="10" t="inlineStr">
        <is>
          <t>Static</t>
        </is>
      </c>
      <c r="J22" s="10" t="inlineStr">
        <is>
          <t>LinkedIn</t>
        </is>
      </c>
      <c r="K22" s="10" t="inlineStr">
        <is>
          <t>Primary</t>
        </is>
      </c>
      <c r="L22" s="10" t="inlineStr">
        <is>
          <t>The pricing-question post, pinned</t>
        </is>
      </c>
      <c r="M22" s="10" t="inlineStr">
        <is>
          <t>Comment or DM for a call</t>
        </is>
      </c>
      <c r="N22" s="10" t="inlineStr">
        <is>
          <t>No</t>
        </is>
      </c>
      <c r="O22" s="10" t="inlineStr">
        <is>
          <t>No</t>
        </is>
      </c>
      <c r="P22" s="10" t="inlineStr">
        <is>
          <t>Not started</t>
        </is>
      </c>
      <c r="Q22" s="10" t="inlineStr">
        <is>
          <t>Not started</t>
        </is>
      </c>
      <c r="R22" s="10" t="inlineStr"/>
      <c r="S22" s="10" t="inlineStr"/>
      <c r="T22" s="10" t="inlineStr"/>
      <c r="U22" s="10" t="n"/>
      <c r="V22" s="10">
        <f>IF(U22="","",IF(U22&gt;=70,"Pass","Hold"))</f>
        <v/>
      </c>
      <c r="W22" s="11" t="n">
        <v>46237</v>
      </c>
      <c r="X22" s="10" t="inlineStr">
        <is>
          <t>10:00 AM</t>
        </is>
      </c>
      <c r="Y22" s="10" t="inlineStr">
        <is>
          <t>Scheduled</t>
        </is>
      </c>
      <c r="Z22" s="11" t="n"/>
      <c r="AA22" s="10" t="inlineStr"/>
      <c r="AB22" s="10" t="inlineStr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/>
      <c r="AM22" s="10" t="inlineStr">
        <is>
          <t>No</t>
        </is>
      </c>
      <c r="AN22" s="10" t="n"/>
      <c r="AO22" s="10" t="n"/>
      <c r="AP22" s="10">
        <f>IF(AND(AC22&lt;&gt;"",AO22&lt;&gt;"",AO22&gt;0),AC22/AO22,"")</f>
        <v/>
      </c>
      <c r="AQ22" s="10">
        <f>IF(AP22="","",IF(AP22&gt;=2,"A",IF(AP22&gt;=1.2,"B",IF(AP22&gt;=0.6,"C","D"))))</f>
        <v/>
      </c>
      <c r="AR22" s="10" t="inlineStr"/>
      <c r="AS22" s="11" t="inlineStr"/>
      <c r="AT22" s="10" t="inlineStr"/>
    </row>
    <row r="23">
      <c r="A23" s="10" t="inlineStr">
        <is>
          <t>PRE-U5-X</t>
        </is>
      </c>
      <c r="B23" s="10" t="inlineStr">
        <is>
          <t>PRE-U5</t>
        </is>
      </c>
      <c r="C23" s="10" t="inlineStr">
        <is>
          <t>PRE</t>
        </is>
      </c>
      <c r="D23" s="11" t="n">
        <v>46237</v>
      </c>
      <c r="E23" s="10" t="inlineStr">
        <is>
          <t>Monday</t>
        </is>
      </c>
      <c r="F23" s="10" t="inlineStr">
        <is>
          <t>All</t>
        </is>
      </c>
      <c r="G23" s="10" t="inlineStr">
        <is>
          <t>A quote built around your store, not a shelf price.</t>
        </is>
      </c>
      <c r="H23" s="10" t="inlineStr">
        <is>
          <t>Engage</t>
        </is>
      </c>
      <c r="I23" s="10" t="inlineStr">
        <is>
          <t>Static</t>
        </is>
      </c>
      <c r="J23" s="10" t="inlineStr">
        <is>
          <t>X</t>
        </is>
      </c>
      <c r="K23" s="10" t="inlineStr">
        <is>
          <t>Primary</t>
        </is>
      </c>
      <c r="L23" s="10" t="inlineStr">
        <is>
          <t>The pricing-question post, pinned</t>
        </is>
      </c>
      <c r="M23" s="10" t="inlineStr">
        <is>
          <t>Comment or DM for a call</t>
        </is>
      </c>
      <c r="N23" s="10" t="inlineStr">
        <is>
          <t>No</t>
        </is>
      </c>
      <c r="O23" s="10" t="inlineStr">
        <is>
          <t>No</t>
        </is>
      </c>
      <c r="P23" s="10" t="inlineStr">
        <is>
          <t>Not started</t>
        </is>
      </c>
      <c r="Q23" s="10" t="inlineStr">
        <is>
          <t>Not started</t>
        </is>
      </c>
      <c r="R23" s="10" t="inlineStr"/>
      <c r="S23" s="10" t="inlineStr"/>
      <c r="T23" s="10" t="inlineStr"/>
      <c r="U23" s="10" t="n"/>
      <c r="V23" s="10">
        <f>IF(U23="","",IF(U23&gt;=70,"Pass","Hold"))</f>
        <v/>
      </c>
      <c r="W23" s="11" t="n">
        <v>46237</v>
      </c>
      <c r="X23" s="10" t="inlineStr">
        <is>
          <t>10:00 AM</t>
        </is>
      </c>
      <c r="Y23" s="10" t="inlineStr">
        <is>
          <t>Scheduled</t>
        </is>
      </c>
      <c r="Z23" s="11" t="n"/>
      <c r="AA23" s="10" t="inlineStr"/>
      <c r="AB23" s="10" t="inlineStr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inlineStr">
        <is>
          <t>No</t>
        </is>
      </c>
      <c r="AN23" s="10" t="n"/>
      <c r="AO23" s="10" t="n"/>
      <c r="AP23" s="10">
        <f>IF(AND(AC23&lt;&gt;"",AO23&lt;&gt;"",AO23&gt;0),AC23/AO23,"")</f>
        <v/>
      </c>
      <c r="AQ23" s="10">
        <f>IF(AP23="","",IF(AP23&gt;=2,"A",IF(AP23&gt;=1.2,"B",IF(AP23&gt;=0.6,"C","D"))))</f>
        <v/>
      </c>
      <c r="AR23" s="10" t="inlineStr"/>
      <c r="AS23" s="11" t="inlineStr"/>
      <c r="AT23" s="10" t="inlineStr"/>
    </row>
    <row r="24">
      <c r="A24" s="10" t="inlineStr">
        <is>
          <t>PRE-U5-TH</t>
        </is>
      </c>
      <c r="B24" s="10" t="inlineStr">
        <is>
          <t>PRE-U5</t>
        </is>
      </c>
      <c r="C24" s="10" t="inlineStr">
        <is>
          <t>PRE</t>
        </is>
      </c>
      <c r="D24" s="11" t="n">
        <v>46237</v>
      </c>
      <c r="E24" s="10" t="inlineStr">
        <is>
          <t>Monday</t>
        </is>
      </c>
      <c r="F24" s="10" t="inlineStr">
        <is>
          <t>All</t>
        </is>
      </c>
      <c r="G24" s="10" t="inlineStr">
        <is>
          <t>A quote built around your store, not a shelf price.</t>
        </is>
      </c>
      <c r="H24" s="10" t="inlineStr">
        <is>
          <t>Engage</t>
        </is>
      </c>
      <c r="I24" s="10" t="inlineStr">
        <is>
          <t>Static</t>
        </is>
      </c>
      <c r="J24" s="10" t="inlineStr">
        <is>
          <t>Threads</t>
        </is>
      </c>
      <c r="K24" s="10" t="inlineStr">
        <is>
          <t>Primary</t>
        </is>
      </c>
      <c r="L24" s="10" t="inlineStr">
        <is>
          <t>The pricing-question post, pinned</t>
        </is>
      </c>
      <c r="M24" s="10" t="inlineStr">
        <is>
          <t>Comment or DM for a call</t>
        </is>
      </c>
      <c r="N24" s="10" t="inlineStr">
        <is>
          <t>No</t>
        </is>
      </c>
      <c r="O24" s="10" t="inlineStr">
        <is>
          <t>No</t>
        </is>
      </c>
      <c r="P24" s="10" t="inlineStr">
        <is>
          <t>Not started</t>
        </is>
      </c>
      <c r="Q24" s="10" t="inlineStr">
        <is>
          <t>Not started</t>
        </is>
      </c>
      <c r="R24" s="10" t="inlineStr"/>
      <c r="S24" s="10" t="inlineStr"/>
      <c r="T24" s="10" t="inlineStr"/>
      <c r="U24" s="10" t="n"/>
      <c r="V24" s="10">
        <f>IF(U24="","",IF(U24&gt;=70,"Pass","Hold"))</f>
        <v/>
      </c>
      <c r="W24" s="11" t="n">
        <v>46237</v>
      </c>
      <c r="X24" s="10" t="inlineStr">
        <is>
          <t>10:00 AM</t>
        </is>
      </c>
      <c r="Y24" s="10" t="inlineStr">
        <is>
          <t>Scheduled</t>
        </is>
      </c>
      <c r="Z24" s="11" t="n"/>
      <c r="AA24" s="10" t="inlineStr"/>
      <c r="AB24" s="10" t="inlineStr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/>
      <c r="AM24" s="10" t="inlineStr">
        <is>
          <t>No</t>
        </is>
      </c>
      <c r="AN24" s="10" t="n"/>
      <c r="AO24" s="10" t="n"/>
      <c r="AP24" s="10">
        <f>IF(AND(AC24&lt;&gt;"",AO24&lt;&gt;"",AO24&gt;0),AC24/AO24,"")</f>
        <v/>
      </c>
      <c r="AQ24" s="10">
        <f>IF(AP24="","",IF(AP24&gt;=2,"A",IF(AP24&gt;=1.2,"B",IF(AP24&gt;=0.6,"C","D"))))</f>
        <v/>
      </c>
      <c r="AR24" s="10" t="inlineStr"/>
      <c r="AS24" s="11" t="inlineStr"/>
      <c r="AT24" s="10" t="inlineStr"/>
    </row>
    <row r="25">
      <c r="A25" s="10" t="inlineStr">
        <is>
          <t>W01-U1-LI</t>
        </is>
      </c>
      <c r="B25" s="10" t="inlineStr">
        <is>
          <t>W01-U1</t>
        </is>
      </c>
      <c r="C25" s="10" t="n">
        <v>1</v>
      </c>
      <c r="D25" s="11" t="n">
        <v>46237</v>
      </c>
      <c r="E25" s="10" t="inlineStr">
        <is>
          <t>Monday</t>
        </is>
      </c>
      <c r="F25" s="10" t="inlineStr">
        <is>
          <t>Danny</t>
        </is>
      </c>
      <c r="G25" s="10" t="inlineStr">
        <is>
          <t>Built for what needs an ID check.</t>
        </is>
      </c>
      <c r="H25" s="10" t="inlineStr">
        <is>
          <t>Educate</t>
        </is>
      </c>
      <c r="I25" s="10" t="inlineStr">
        <is>
          <t>Text</t>
        </is>
      </c>
      <c r="J25" s="10" t="inlineStr">
        <is>
          <t>LinkedIn</t>
        </is>
      </c>
      <c r="K25" s="10" t="inlineStr">
        <is>
          <t>Primary</t>
        </is>
      </c>
      <c r="L25" s="10" t="inlineStr">
        <is>
          <t>What's actually included with RetailzPOS</t>
        </is>
      </c>
      <c r="M25" s="10" t="inlineStr">
        <is>
          <t>Read more (link)</t>
        </is>
      </c>
      <c r="N25" s="10" t="inlineStr">
        <is>
          <t>No</t>
        </is>
      </c>
      <c r="O25" s="10" t="inlineStr">
        <is>
          <t>No</t>
        </is>
      </c>
      <c r="P25" s="10" t="inlineStr">
        <is>
          <t>Not started</t>
        </is>
      </c>
      <c r="Q25" s="10" t="inlineStr">
        <is>
          <t>Not started</t>
        </is>
      </c>
      <c r="R25" s="10" t="inlineStr"/>
      <c r="S25" s="10" t="inlineStr"/>
      <c r="T25" s="10" t="inlineStr"/>
      <c r="U25" s="10" t="n"/>
      <c r="V25" s="10">
        <f>IF(U25="","",IF(U25&gt;=70,"Pass","Hold"))</f>
        <v/>
      </c>
      <c r="W25" s="11" t="n">
        <v>46237</v>
      </c>
      <c r="X25" s="10" t="inlineStr">
        <is>
          <t>10:00 AM</t>
        </is>
      </c>
      <c r="Y25" s="10" t="inlineStr">
        <is>
          <t>Scheduled</t>
        </is>
      </c>
      <c r="Z25" s="11" t="n"/>
      <c r="AA25" s="10" t="inlineStr"/>
      <c r="AB25" s="10" t="inlineStr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inlineStr">
        <is>
          <t>No</t>
        </is>
      </c>
      <c r="AN25" s="10" t="n"/>
      <c r="AO25" s="10" t="n"/>
      <c r="AP25" s="10">
        <f>IF(AND(AC25&lt;&gt;"",AO25&lt;&gt;"",AO25&gt;0),AC25/AO25,"")</f>
        <v/>
      </c>
      <c r="AQ25" s="10">
        <f>IF(AP25="","",IF(AP25&gt;=2,"A",IF(AP25&gt;=1.2,"B",IF(AP25&gt;=0.6,"C","D"))))</f>
        <v/>
      </c>
      <c r="AR25" s="10" t="inlineStr"/>
      <c r="AS25" s="11" t="inlineStr"/>
      <c r="AT25" s="10" t="inlineStr"/>
    </row>
    <row r="26">
      <c r="A26" s="10" t="inlineStr">
        <is>
          <t>W01-U1-FA</t>
        </is>
      </c>
      <c r="B26" s="10" t="inlineStr">
        <is>
          <t>W01-U1</t>
        </is>
      </c>
      <c r="C26" s="10" t="n">
        <v>1</v>
      </c>
      <c r="D26" s="11" t="n">
        <v>46237</v>
      </c>
      <c r="E26" s="10" t="inlineStr">
        <is>
          <t>Monday</t>
        </is>
      </c>
      <c r="F26" s="10" t="inlineStr">
        <is>
          <t>Danny</t>
        </is>
      </c>
      <c r="G26" s="10" t="inlineStr">
        <is>
          <t>Built for what needs an ID check.</t>
        </is>
      </c>
      <c r="H26" s="10" t="inlineStr">
        <is>
          <t>Educate</t>
        </is>
      </c>
      <c r="I26" s="10" t="inlineStr">
        <is>
          <t>Text</t>
        </is>
      </c>
      <c r="J26" s="10" t="inlineStr">
        <is>
          <t>Facebook</t>
        </is>
      </c>
      <c r="K26" s="10" t="inlineStr">
        <is>
          <t>Primary</t>
        </is>
      </c>
      <c r="L26" s="10" t="inlineStr">
        <is>
          <t>What's actually included with RetailzPOS</t>
        </is>
      </c>
      <c r="M26" s="10" t="inlineStr">
        <is>
          <t>Read more (link)</t>
        </is>
      </c>
      <c r="N26" s="10" t="inlineStr">
        <is>
          <t>No</t>
        </is>
      </c>
      <c r="O26" s="10" t="inlineStr">
        <is>
          <t>No</t>
        </is>
      </c>
      <c r="P26" s="10" t="inlineStr">
        <is>
          <t>Not started</t>
        </is>
      </c>
      <c r="Q26" s="10" t="inlineStr">
        <is>
          <t>Not started</t>
        </is>
      </c>
      <c r="R26" s="10" t="inlineStr"/>
      <c r="S26" s="10" t="inlineStr"/>
      <c r="T26" s="10" t="inlineStr"/>
      <c r="U26" s="10" t="n"/>
      <c r="V26" s="10">
        <f>IF(U26="","",IF(U26&gt;=70,"Pass","Hold"))</f>
        <v/>
      </c>
      <c r="W26" s="11" t="n">
        <v>46237</v>
      </c>
      <c r="X26" s="10" t="inlineStr">
        <is>
          <t>10:00 AM</t>
        </is>
      </c>
      <c r="Y26" s="10" t="inlineStr">
        <is>
          <t>Scheduled</t>
        </is>
      </c>
      <c r="Z26" s="11" t="n"/>
      <c r="AA26" s="10" t="inlineStr"/>
      <c r="AB26" s="10" t="inlineStr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inlineStr">
        <is>
          <t>No</t>
        </is>
      </c>
      <c r="AN26" s="10" t="n"/>
      <c r="AO26" s="10" t="n"/>
      <c r="AP26" s="10">
        <f>IF(AND(AC26&lt;&gt;"",AO26&lt;&gt;"",AO26&gt;0),AC26/AO26,"")</f>
        <v/>
      </c>
      <c r="AQ26" s="10">
        <f>IF(AP26="","",IF(AP26&gt;=2,"A",IF(AP26&gt;=1.2,"B",IF(AP26&gt;=0.6,"C","D"))))</f>
        <v/>
      </c>
      <c r="AR26" s="10" t="inlineStr"/>
      <c r="AS26" s="11" t="inlineStr"/>
      <c r="AT26" s="10" t="inlineStr"/>
    </row>
    <row r="27">
      <c r="A27" s="10" t="inlineStr">
        <is>
          <t>W01-U1-BL</t>
        </is>
      </c>
      <c r="B27" s="10" t="inlineStr">
        <is>
          <t>W01-U1</t>
        </is>
      </c>
      <c r="C27" s="10" t="n">
        <v>1</v>
      </c>
      <c r="D27" s="11" t="n">
        <v>46237</v>
      </c>
      <c r="E27" s="10" t="inlineStr">
        <is>
          <t>Monday</t>
        </is>
      </c>
      <c r="F27" s="10" t="inlineStr">
        <is>
          <t>Danny</t>
        </is>
      </c>
      <c r="G27" s="10" t="inlineStr">
        <is>
          <t>Built for what needs an ID check.</t>
        </is>
      </c>
      <c r="H27" s="10" t="inlineStr">
        <is>
          <t>Educate</t>
        </is>
      </c>
      <c r="I27" s="10" t="inlineStr">
        <is>
          <t>Text</t>
        </is>
      </c>
      <c r="J27" s="10" t="inlineStr">
        <is>
          <t>Blog/SEO</t>
        </is>
      </c>
      <c r="K27" s="10" t="inlineStr">
        <is>
          <t>Primary</t>
        </is>
      </c>
      <c r="L27" s="10" t="inlineStr">
        <is>
          <t>What's actually included with RetailzPOS</t>
        </is>
      </c>
      <c r="M27" s="10" t="inlineStr">
        <is>
          <t>Read more (link)</t>
        </is>
      </c>
      <c r="N27" s="10" t="inlineStr">
        <is>
          <t>No</t>
        </is>
      </c>
      <c r="O27" s="10" t="inlineStr">
        <is>
          <t>No</t>
        </is>
      </c>
      <c r="P27" s="10" t="inlineStr">
        <is>
          <t>Not started</t>
        </is>
      </c>
      <c r="Q27" s="10" t="inlineStr">
        <is>
          <t>Not started</t>
        </is>
      </c>
      <c r="R27" s="10" t="inlineStr"/>
      <c r="S27" s="10" t="inlineStr"/>
      <c r="T27" s="10" t="inlineStr"/>
      <c r="U27" s="10" t="n"/>
      <c r="V27" s="10">
        <f>IF(U27="","",IF(U27&gt;=70,"Pass","Hold"))</f>
        <v/>
      </c>
      <c r="W27" s="11" t="n">
        <v>46237</v>
      </c>
      <c r="X27" s="10" t="inlineStr">
        <is>
          <t>10:00 AM</t>
        </is>
      </c>
      <c r="Y27" s="10" t="inlineStr">
        <is>
          <t>Scheduled</t>
        </is>
      </c>
      <c r="Z27" s="11" t="n"/>
      <c r="AA27" s="10" t="inlineStr"/>
      <c r="AB27" s="10" t="inlineStr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/>
      <c r="AM27" s="10" t="inlineStr">
        <is>
          <t>No</t>
        </is>
      </c>
      <c r="AN27" s="10" t="n"/>
      <c r="AO27" s="10" t="n"/>
      <c r="AP27" s="10">
        <f>IF(AND(AC27&lt;&gt;"",AO27&lt;&gt;"",AO27&gt;0),AC27/AO27,"")</f>
        <v/>
      </c>
      <c r="AQ27" s="10">
        <f>IF(AP27="","",IF(AP27&gt;=2,"A",IF(AP27&gt;=1.2,"B",IF(AP27&gt;=0.6,"C","D"))))</f>
        <v/>
      </c>
      <c r="AR27" s="10" t="inlineStr"/>
      <c r="AS27" s="11" t="inlineStr"/>
      <c r="AT27" s="10" t="inlineStr"/>
    </row>
    <row r="28">
      <c r="A28" s="10" t="inlineStr">
        <is>
          <t>W01-U1-X</t>
        </is>
      </c>
      <c r="B28" s="10" t="inlineStr">
        <is>
          <t>W01-U1</t>
        </is>
      </c>
      <c r="C28" s="10" t="n">
        <v>1</v>
      </c>
      <c r="D28" s="11" t="n">
        <v>46237</v>
      </c>
      <c r="E28" s="10" t="inlineStr">
        <is>
          <t>Monday</t>
        </is>
      </c>
      <c r="F28" s="10" t="inlineStr">
        <is>
          <t>Danny</t>
        </is>
      </c>
      <c r="G28" s="10" t="inlineStr">
        <is>
          <t>Built for what needs an ID check.</t>
        </is>
      </c>
      <c r="H28" s="10" t="inlineStr">
        <is>
          <t>Educate</t>
        </is>
      </c>
      <c r="I28" s="10" t="inlineStr">
        <is>
          <t>Text</t>
        </is>
      </c>
      <c r="J28" s="10" t="inlineStr">
        <is>
          <t>X</t>
        </is>
      </c>
      <c r="K28" s="10" t="inlineStr">
        <is>
          <t>Mirror</t>
        </is>
      </c>
      <c r="L28" s="10" t="inlineStr">
        <is>
          <t>What's actually included with RetailzPOS</t>
        </is>
      </c>
      <c r="M28" s="10" t="inlineStr">
        <is>
          <t>Read more (link)</t>
        </is>
      </c>
      <c r="N28" s="10" t="inlineStr">
        <is>
          <t>No</t>
        </is>
      </c>
      <c r="O28" s="10" t="inlineStr">
        <is>
          <t>No</t>
        </is>
      </c>
      <c r="P28" s="10" t="inlineStr">
        <is>
          <t>Not started</t>
        </is>
      </c>
      <c r="Q28" s="10" t="inlineStr">
        <is>
          <t>Not started</t>
        </is>
      </c>
      <c r="R28" s="10" t="inlineStr"/>
      <c r="S28" s="10" t="inlineStr"/>
      <c r="T28" s="10" t="inlineStr"/>
      <c r="U28" s="10" t="n"/>
      <c r="V28" s="10">
        <f>IF(U28="","",IF(U28&gt;=70,"Pass","Hold"))</f>
        <v/>
      </c>
      <c r="W28" s="11" t="n">
        <v>46237</v>
      </c>
      <c r="X28" s="10" t="inlineStr">
        <is>
          <t>10:00 AM</t>
        </is>
      </c>
      <c r="Y28" s="10" t="inlineStr">
        <is>
          <t>Scheduled</t>
        </is>
      </c>
      <c r="Z28" s="11" t="n"/>
      <c r="AA28" s="10" t="inlineStr"/>
      <c r="AB28" s="10" t="inlineStr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/>
      <c r="AM28" s="10" t="inlineStr">
        <is>
          <t>No</t>
        </is>
      </c>
      <c r="AN28" s="10" t="n"/>
      <c r="AO28" s="10" t="n"/>
      <c r="AP28" s="10">
        <f>IF(AND(AC28&lt;&gt;"",AO28&lt;&gt;"",AO28&gt;0),AC28/AO28,"")</f>
        <v/>
      </c>
      <c r="AQ28" s="10">
        <f>IF(AP28="","",IF(AP28&gt;=2,"A",IF(AP28&gt;=1.2,"B",IF(AP28&gt;=0.6,"C","D"))))</f>
        <v/>
      </c>
      <c r="AR28" s="10" t="inlineStr"/>
      <c r="AS28" s="11" t="inlineStr"/>
      <c r="AT28" s="10" t="inlineStr"/>
    </row>
    <row r="29">
      <c r="A29" s="10" t="inlineStr">
        <is>
          <t>W01-U2-IN</t>
        </is>
      </c>
      <c r="B29" s="10" t="inlineStr">
        <is>
          <t>W01-U2</t>
        </is>
      </c>
      <c r="C29" s="10" t="n">
        <v>1</v>
      </c>
      <c r="D29" s="11" t="n">
        <v>46238</v>
      </c>
      <c r="E29" s="10" t="inlineStr">
        <is>
          <t>Tuesday</t>
        </is>
      </c>
      <c r="F29" s="10" t="inlineStr">
        <is>
          <t>Danny</t>
        </is>
      </c>
      <c r="G29" s="10" t="inlineStr">
        <is>
          <t>Built for what needs an ID check.</t>
        </is>
      </c>
      <c r="H29" s="10" t="inlineStr">
        <is>
          <t>Educate</t>
        </is>
      </c>
      <c r="I29" s="10" t="inlineStr">
        <is>
          <t>Carousel</t>
        </is>
      </c>
      <c r="J29" s="10" t="inlineStr">
        <is>
          <t>Instagram</t>
        </is>
      </c>
      <c r="K29" s="10" t="inlineStr">
        <is>
          <t>Primary</t>
        </is>
      </c>
      <c r="L29" s="10" t="inlineStr">
        <is>
          <t>Hard-block age verification, the 3-Layer way</t>
        </is>
      </c>
      <c r="M29" s="10" t="inlineStr">
        <is>
          <t>Book a demo</t>
        </is>
      </c>
      <c r="N29" s="10" t="inlineStr">
        <is>
          <t>No</t>
        </is>
      </c>
      <c r="O29" s="10" t="inlineStr">
        <is>
          <t>No</t>
        </is>
      </c>
      <c r="P29" s="10" t="inlineStr">
        <is>
          <t>Not started</t>
        </is>
      </c>
      <c r="Q29" s="10" t="inlineStr">
        <is>
          <t>Not started</t>
        </is>
      </c>
      <c r="R29" s="10" t="inlineStr"/>
      <c r="S29" s="10" t="inlineStr"/>
      <c r="T29" s="10" t="inlineStr"/>
      <c r="U29" s="10" t="n"/>
      <c r="V29" s="10">
        <f>IF(U29="","",IF(U29&gt;=70,"Pass","Hold"))</f>
        <v/>
      </c>
      <c r="W29" s="11" t="n">
        <v>46238</v>
      </c>
      <c r="X29" s="10" t="inlineStr">
        <is>
          <t>10:00 AM</t>
        </is>
      </c>
      <c r="Y29" s="10" t="inlineStr">
        <is>
          <t>Scheduled</t>
        </is>
      </c>
      <c r="Z29" s="11" t="n"/>
      <c r="AA29" s="10" t="inlineStr"/>
      <c r="AB29" s="10" t="inlineStr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/>
      <c r="AM29" s="10" t="inlineStr">
        <is>
          <t>No</t>
        </is>
      </c>
      <c r="AN29" s="10" t="n"/>
      <c r="AO29" s="10" t="n"/>
      <c r="AP29" s="10">
        <f>IF(AND(AC29&lt;&gt;"",AO29&lt;&gt;"",AO29&gt;0),AC29/AO29,"")</f>
        <v/>
      </c>
      <c r="AQ29" s="10">
        <f>IF(AP29="","",IF(AP29&gt;=2,"A",IF(AP29&gt;=1.2,"B",IF(AP29&gt;=0.6,"C","D"))))</f>
        <v/>
      </c>
      <c r="AR29" s="10" t="inlineStr"/>
      <c r="AS29" s="11" t="inlineStr"/>
      <c r="AT29" s="10" t="inlineStr"/>
    </row>
    <row r="30">
      <c r="A30" s="10" t="inlineStr">
        <is>
          <t>W01-U2-FA</t>
        </is>
      </c>
      <c r="B30" s="10" t="inlineStr">
        <is>
          <t>W01-U2</t>
        </is>
      </c>
      <c r="C30" s="10" t="n">
        <v>1</v>
      </c>
      <c r="D30" s="11" t="n">
        <v>46238</v>
      </c>
      <c r="E30" s="10" t="inlineStr">
        <is>
          <t>Tuesday</t>
        </is>
      </c>
      <c r="F30" s="10" t="inlineStr">
        <is>
          <t>Danny</t>
        </is>
      </c>
      <c r="G30" s="10" t="inlineStr">
        <is>
          <t>Built for what needs an ID check.</t>
        </is>
      </c>
      <c r="H30" s="10" t="inlineStr">
        <is>
          <t>Educate</t>
        </is>
      </c>
      <c r="I30" s="10" t="inlineStr">
        <is>
          <t>Carousel</t>
        </is>
      </c>
      <c r="J30" s="10" t="inlineStr">
        <is>
          <t>Facebook</t>
        </is>
      </c>
      <c r="K30" s="10" t="inlineStr">
        <is>
          <t>Mirror</t>
        </is>
      </c>
      <c r="L30" s="10" t="inlineStr">
        <is>
          <t>Hard-block age verification, the 3-Layer way</t>
        </is>
      </c>
      <c r="M30" s="10" t="inlineStr">
        <is>
          <t>Book a demo</t>
        </is>
      </c>
      <c r="N30" s="10" t="inlineStr">
        <is>
          <t>No</t>
        </is>
      </c>
      <c r="O30" s="10" t="inlineStr">
        <is>
          <t>No</t>
        </is>
      </c>
      <c r="P30" s="10" t="inlineStr">
        <is>
          <t>Not started</t>
        </is>
      </c>
      <c r="Q30" s="10" t="inlineStr">
        <is>
          <t>Not started</t>
        </is>
      </c>
      <c r="R30" s="10" t="inlineStr"/>
      <c r="S30" s="10" t="inlineStr"/>
      <c r="T30" s="10" t="inlineStr"/>
      <c r="U30" s="10" t="n"/>
      <c r="V30" s="10">
        <f>IF(U30="","",IF(U30&gt;=70,"Pass","Hold"))</f>
        <v/>
      </c>
      <c r="W30" s="11" t="n">
        <v>46238</v>
      </c>
      <c r="X30" s="10" t="inlineStr">
        <is>
          <t>10:00 AM</t>
        </is>
      </c>
      <c r="Y30" s="10" t="inlineStr">
        <is>
          <t>Scheduled</t>
        </is>
      </c>
      <c r="Z30" s="11" t="n"/>
      <c r="AA30" s="10" t="inlineStr"/>
      <c r="AB30" s="10" t="inlineStr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/>
      <c r="AM30" s="10" t="inlineStr">
        <is>
          <t>No</t>
        </is>
      </c>
      <c r="AN30" s="10" t="n"/>
      <c r="AO30" s="10" t="n"/>
      <c r="AP30" s="10">
        <f>IF(AND(AC30&lt;&gt;"",AO30&lt;&gt;"",AO30&gt;0),AC30/AO30,"")</f>
        <v/>
      </c>
      <c r="AQ30" s="10">
        <f>IF(AP30="","",IF(AP30&gt;=2,"A",IF(AP30&gt;=1.2,"B",IF(AP30&gt;=0.6,"C","D"))))</f>
        <v/>
      </c>
      <c r="AR30" s="10" t="inlineStr"/>
      <c r="AS30" s="11" t="inlineStr"/>
      <c r="AT30" s="10" t="inlineStr"/>
    </row>
    <row r="31">
      <c r="A31" s="10" t="inlineStr">
        <is>
          <t>W01-U2-LI</t>
        </is>
      </c>
      <c r="B31" s="10" t="inlineStr">
        <is>
          <t>W01-U2</t>
        </is>
      </c>
      <c r="C31" s="10" t="n">
        <v>1</v>
      </c>
      <c r="D31" s="11" t="n">
        <v>46238</v>
      </c>
      <c r="E31" s="10" t="inlineStr">
        <is>
          <t>Tuesday</t>
        </is>
      </c>
      <c r="F31" s="10" t="inlineStr">
        <is>
          <t>Danny</t>
        </is>
      </c>
      <c r="G31" s="10" t="inlineStr">
        <is>
          <t>Built for what needs an ID check.</t>
        </is>
      </c>
      <c r="H31" s="10" t="inlineStr">
        <is>
          <t>Educate</t>
        </is>
      </c>
      <c r="I31" s="10" t="inlineStr">
        <is>
          <t>Carousel</t>
        </is>
      </c>
      <c r="J31" s="10" t="inlineStr">
        <is>
          <t>LinkedIn</t>
        </is>
      </c>
      <c r="K31" s="10" t="inlineStr">
        <is>
          <t>Adapted</t>
        </is>
      </c>
      <c r="L31" s="10" t="inlineStr">
        <is>
          <t>Hard-block age verification, the 3-Layer way</t>
        </is>
      </c>
      <c r="M31" s="10" t="inlineStr">
        <is>
          <t>Book a demo</t>
        </is>
      </c>
      <c r="N31" s="10" t="inlineStr">
        <is>
          <t>No</t>
        </is>
      </c>
      <c r="O31" s="10" t="inlineStr">
        <is>
          <t>No</t>
        </is>
      </c>
      <c r="P31" s="10" t="inlineStr">
        <is>
          <t>Not started</t>
        </is>
      </c>
      <c r="Q31" s="10" t="inlineStr">
        <is>
          <t>Not started</t>
        </is>
      </c>
      <c r="R31" s="10" t="inlineStr"/>
      <c r="S31" s="10" t="inlineStr"/>
      <c r="T31" s="10" t="inlineStr"/>
      <c r="U31" s="10" t="n"/>
      <c r="V31" s="10">
        <f>IF(U31="","",IF(U31&gt;=70,"Pass","Hold"))</f>
        <v/>
      </c>
      <c r="W31" s="11" t="n">
        <v>46238</v>
      </c>
      <c r="X31" s="10" t="inlineStr">
        <is>
          <t>10:00 AM</t>
        </is>
      </c>
      <c r="Y31" s="10" t="inlineStr">
        <is>
          <t>Scheduled</t>
        </is>
      </c>
      <c r="Z31" s="11" t="n"/>
      <c r="AA31" s="10" t="inlineStr"/>
      <c r="AB31" s="10" t="inlineStr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/>
      <c r="AM31" s="10" t="inlineStr">
        <is>
          <t>No</t>
        </is>
      </c>
      <c r="AN31" s="10" t="n"/>
      <c r="AO31" s="10" t="n"/>
      <c r="AP31" s="10">
        <f>IF(AND(AC31&lt;&gt;"",AO31&lt;&gt;"",AO31&gt;0),AC31/AO31,"")</f>
        <v/>
      </c>
      <c r="AQ31" s="10">
        <f>IF(AP31="","",IF(AP31&gt;=2,"A",IF(AP31&gt;=1.2,"B",IF(AP31&gt;=0.6,"C","D"))))</f>
        <v/>
      </c>
      <c r="AR31" s="10" t="inlineStr"/>
      <c r="AS31" s="11" t="inlineStr"/>
      <c r="AT31" s="10" t="inlineStr"/>
    </row>
    <row r="32">
      <c r="A32" s="10" t="inlineStr">
        <is>
          <t>W01-U3-TI</t>
        </is>
      </c>
      <c r="B32" s="10" t="inlineStr">
        <is>
          <t>W01-U3</t>
        </is>
      </c>
      <c r="C32" s="10" t="n">
        <v>1</v>
      </c>
      <c r="D32" s="11" t="n">
        <v>46239</v>
      </c>
      <c r="E32" s="10" t="inlineStr">
        <is>
          <t>Wednesday</t>
        </is>
      </c>
      <c r="F32" s="10" t="inlineStr">
        <is>
          <t>Danny</t>
        </is>
      </c>
      <c r="G32" s="10" t="inlineStr">
        <is>
          <t>Built for what needs an ID check.</t>
        </is>
      </c>
      <c r="H32" s="10" t="inlineStr">
        <is>
          <t>Inspire</t>
        </is>
      </c>
      <c r="I32" s="10" t="inlineStr">
        <is>
          <t>Video</t>
        </is>
      </c>
      <c r="J32" s="10" t="inlineStr">
        <is>
          <t>TikTok</t>
        </is>
      </c>
      <c r="K32" s="10" t="inlineStr">
        <is>
          <t>Primary</t>
        </is>
      </c>
      <c r="L32" s="10" t="inlineStr">
        <is>
          <t>A day behind the counter</t>
        </is>
      </c>
      <c r="M32" s="10" t="inlineStr">
        <is>
          <t>Book a demo</t>
        </is>
      </c>
      <c r="N32" s="10" t="inlineStr">
        <is>
          <t>No</t>
        </is>
      </c>
      <c r="O32" s="10" t="inlineStr">
        <is>
          <t>No</t>
        </is>
      </c>
      <c r="P32" s="10" t="inlineStr">
        <is>
          <t>Not started</t>
        </is>
      </c>
      <c r="Q32" s="10" t="inlineStr">
        <is>
          <t>Not started</t>
        </is>
      </c>
      <c r="R32" s="10" t="inlineStr"/>
      <c r="S32" s="10" t="inlineStr"/>
      <c r="T32" s="10" t="inlineStr"/>
      <c r="U32" s="10" t="n"/>
      <c r="V32" s="10">
        <f>IF(U32="","",IF(U32&gt;=70,"Pass","Hold"))</f>
        <v/>
      </c>
      <c r="W32" s="11" t="n">
        <v>46239</v>
      </c>
      <c r="X32" s="10" t="inlineStr">
        <is>
          <t>10:00 AM</t>
        </is>
      </c>
      <c r="Y32" s="10" t="inlineStr">
        <is>
          <t>Scheduled</t>
        </is>
      </c>
      <c r="Z32" s="11" t="n"/>
      <c r="AA32" s="10" t="inlineStr"/>
      <c r="AB32" s="10" t="inlineStr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inlineStr">
        <is>
          <t>No</t>
        </is>
      </c>
      <c r="AN32" s="10" t="n"/>
      <c r="AO32" s="10" t="n"/>
      <c r="AP32" s="10">
        <f>IF(AND(AC32&lt;&gt;"",AO32&lt;&gt;"",AO32&gt;0),AC32/AO32,"")</f>
        <v/>
      </c>
      <c r="AQ32" s="10">
        <f>IF(AP32="","",IF(AP32&gt;=2,"A",IF(AP32&gt;=1.2,"B",IF(AP32&gt;=0.6,"C","D"))))</f>
        <v/>
      </c>
      <c r="AR32" s="10" t="inlineStr"/>
      <c r="AS32" s="11" t="inlineStr"/>
      <c r="AT32" s="10" t="inlineStr"/>
    </row>
    <row r="33">
      <c r="A33" s="10" t="inlineStr">
        <is>
          <t>W01-U3-IN</t>
        </is>
      </c>
      <c r="B33" s="10" t="inlineStr">
        <is>
          <t>W01-U3</t>
        </is>
      </c>
      <c r="C33" s="10" t="n">
        <v>1</v>
      </c>
      <c r="D33" s="11" t="n">
        <v>46239</v>
      </c>
      <c r="E33" s="10" t="inlineStr">
        <is>
          <t>Wednesday</t>
        </is>
      </c>
      <c r="F33" s="10" t="inlineStr">
        <is>
          <t>Danny</t>
        </is>
      </c>
      <c r="G33" s="10" t="inlineStr">
        <is>
          <t>Built for what needs an ID check.</t>
        </is>
      </c>
      <c r="H33" s="10" t="inlineStr">
        <is>
          <t>Inspire</t>
        </is>
      </c>
      <c r="I33" s="10" t="inlineStr">
        <is>
          <t>Video</t>
        </is>
      </c>
      <c r="J33" s="10" t="inlineStr">
        <is>
          <t>Instagram</t>
        </is>
      </c>
      <c r="K33" s="10" t="inlineStr">
        <is>
          <t>Mirror</t>
        </is>
      </c>
      <c r="L33" s="10" t="inlineStr">
        <is>
          <t>A day behind the counter</t>
        </is>
      </c>
      <c r="M33" s="10" t="inlineStr">
        <is>
          <t>Book a demo</t>
        </is>
      </c>
      <c r="N33" s="10" t="inlineStr">
        <is>
          <t>No</t>
        </is>
      </c>
      <c r="O33" s="10" t="inlineStr">
        <is>
          <t>No</t>
        </is>
      </c>
      <c r="P33" s="10" t="inlineStr">
        <is>
          <t>Not started</t>
        </is>
      </c>
      <c r="Q33" s="10" t="inlineStr">
        <is>
          <t>Not started</t>
        </is>
      </c>
      <c r="R33" s="10" t="inlineStr"/>
      <c r="S33" s="10" t="inlineStr"/>
      <c r="T33" s="10" t="inlineStr"/>
      <c r="U33" s="10" t="n"/>
      <c r="V33" s="10">
        <f>IF(U33="","",IF(U33&gt;=70,"Pass","Hold"))</f>
        <v/>
      </c>
      <c r="W33" s="11" t="n">
        <v>46239</v>
      </c>
      <c r="X33" s="10" t="inlineStr">
        <is>
          <t>10:00 AM</t>
        </is>
      </c>
      <c r="Y33" s="10" t="inlineStr">
        <is>
          <t>Scheduled</t>
        </is>
      </c>
      <c r="Z33" s="11" t="n"/>
      <c r="AA33" s="10" t="inlineStr"/>
      <c r="AB33" s="10" t="inlineStr"/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inlineStr">
        <is>
          <t>No</t>
        </is>
      </c>
      <c r="AN33" s="10" t="n"/>
      <c r="AO33" s="10" t="n"/>
      <c r="AP33" s="10">
        <f>IF(AND(AC33&lt;&gt;"",AO33&lt;&gt;"",AO33&gt;0),AC33/AO33,"")</f>
        <v/>
      </c>
      <c r="AQ33" s="10">
        <f>IF(AP33="","",IF(AP33&gt;=2,"A",IF(AP33&gt;=1.2,"B",IF(AP33&gt;=0.6,"C","D"))))</f>
        <v/>
      </c>
      <c r="AR33" s="10" t="inlineStr"/>
      <c r="AS33" s="11" t="inlineStr"/>
      <c r="AT33" s="10" t="inlineStr"/>
    </row>
    <row r="34">
      <c r="A34" s="10" t="inlineStr">
        <is>
          <t>W01-U4-LI</t>
        </is>
      </c>
      <c r="B34" s="10" t="inlineStr">
        <is>
          <t>W01-U4</t>
        </is>
      </c>
      <c r="C34" s="10" t="n">
        <v>1</v>
      </c>
      <c r="D34" s="11" t="n">
        <v>46240</v>
      </c>
      <c r="E34" s="10" t="inlineStr">
        <is>
          <t>Thursday</t>
        </is>
      </c>
      <c r="F34" s="10" t="inlineStr">
        <is>
          <t>Danny</t>
        </is>
      </c>
      <c r="G34" s="10" t="inlineStr">
        <is>
          <t>Built for what needs an ID check.</t>
        </is>
      </c>
      <c r="H34" s="10" t="inlineStr">
        <is>
          <t>Engage</t>
        </is>
      </c>
      <c r="I34" s="10" t="inlineStr">
        <is>
          <t>Static</t>
        </is>
      </c>
      <c r="J34" s="10" t="inlineStr">
        <is>
          <t>LinkedIn</t>
        </is>
      </c>
      <c r="K34" s="10" t="inlineStr">
        <is>
          <t>Primary</t>
        </is>
      </c>
      <c r="L34" s="10" t="inlineStr">
        <is>
          <t>The 11pm ID check</t>
        </is>
      </c>
      <c r="M34" s="10" t="inlineStr">
        <is>
          <t>Book a demo</t>
        </is>
      </c>
      <c r="N34" s="10" t="inlineStr">
        <is>
          <t>No</t>
        </is>
      </c>
      <c r="O34" s="10" t="inlineStr">
        <is>
          <t>No</t>
        </is>
      </c>
      <c r="P34" s="10" t="inlineStr">
        <is>
          <t>Not started</t>
        </is>
      </c>
      <c r="Q34" s="10" t="inlineStr">
        <is>
          <t>Not started</t>
        </is>
      </c>
      <c r="R34" s="10" t="inlineStr"/>
      <c r="S34" s="10" t="inlineStr"/>
      <c r="T34" s="10" t="inlineStr"/>
      <c r="U34" s="10" t="n"/>
      <c r="V34" s="10">
        <f>IF(U34="","",IF(U34&gt;=70,"Pass","Hold"))</f>
        <v/>
      </c>
      <c r="W34" s="11" t="n">
        <v>46240</v>
      </c>
      <c r="X34" s="10" t="inlineStr">
        <is>
          <t>10:00 AM</t>
        </is>
      </c>
      <c r="Y34" s="10" t="inlineStr">
        <is>
          <t>Scheduled</t>
        </is>
      </c>
      <c r="Z34" s="11" t="n"/>
      <c r="AA34" s="10" t="inlineStr"/>
      <c r="AB34" s="10" t="inlineStr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inlineStr">
        <is>
          <t>No</t>
        </is>
      </c>
      <c r="AN34" s="10" t="n"/>
      <c r="AO34" s="10" t="n"/>
      <c r="AP34" s="10">
        <f>IF(AND(AC34&lt;&gt;"",AO34&lt;&gt;"",AO34&gt;0),AC34/AO34,"")</f>
        <v/>
      </c>
      <c r="AQ34" s="10">
        <f>IF(AP34="","",IF(AP34&gt;=2,"A",IF(AP34&gt;=1.2,"B",IF(AP34&gt;=0.6,"C","D"))))</f>
        <v/>
      </c>
      <c r="AR34" s="10" t="inlineStr"/>
      <c r="AS34" s="11" t="inlineStr"/>
      <c r="AT34" s="10" t="inlineStr"/>
    </row>
    <row r="35">
      <c r="A35" s="10" t="inlineStr">
        <is>
          <t>W01-U4-FA</t>
        </is>
      </c>
      <c r="B35" s="10" t="inlineStr">
        <is>
          <t>W01-U4</t>
        </is>
      </c>
      <c r="C35" s="10" t="n">
        <v>1</v>
      </c>
      <c r="D35" s="11" t="n">
        <v>46240</v>
      </c>
      <c r="E35" s="10" t="inlineStr">
        <is>
          <t>Thursday</t>
        </is>
      </c>
      <c r="F35" s="10" t="inlineStr">
        <is>
          <t>Danny</t>
        </is>
      </c>
      <c r="G35" s="10" t="inlineStr">
        <is>
          <t>Built for what needs an ID check.</t>
        </is>
      </c>
      <c r="H35" s="10" t="inlineStr">
        <is>
          <t>Engage</t>
        </is>
      </c>
      <c r="I35" s="10" t="inlineStr">
        <is>
          <t>Static</t>
        </is>
      </c>
      <c r="J35" s="10" t="inlineStr">
        <is>
          <t>Facebook</t>
        </is>
      </c>
      <c r="K35" s="10" t="inlineStr">
        <is>
          <t>Mirror</t>
        </is>
      </c>
      <c r="L35" s="10" t="inlineStr">
        <is>
          <t>The 11pm ID check</t>
        </is>
      </c>
      <c r="M35" s="10" t="inlineStr">
        <is>
          <t>Book a demo</t>
        </is>
      </c>
      <c r="N35" s="10" t="inlineStr">
        <is>
          <t>No</t>
        </is>
      </c>
      <c r="O35" s="10" t="inlineStr">
        <is>
          <t>No</t>
        </is>
      </c>
      <c r="P35" s="10" t="inlineStr">
        <is>
          <t>Not started</t>
        </is>
      </c>
      <c r="Q35" s="10" t="inlineStr">
        <is>
          <t>Not started</t>
        </is>
      </c>
      <c r="R35" s="10" t="inlineStr"/>
      <c r="S35" s="10" t="inlineStr"/>
      <c r="T35" s="10" t="inlineStr"/>
      <c r="U35" s="10" t="n"/>
      <c r="V35" s="10">
        <f>IF(U35="","",IF(U35&gt;=70,"Pass","Hold"))</f>
        <v/>
      </c>
      <c r="W35" s="11" t="n">
        <v>46240</v>
      </c>
      <c r="X35" s="10" t="inlineStr">
        <is>
          <t>10:00 AM</t>
        </is>
      </c>
      <c r="Y35" s="10" t="inlineStr">
        <is>
          <t>Scheduled</t>
        </is>
      </c>
      <c r="Z35" s="11" t="n"/>
      <c r="AA35" s="10" t="inlineStr"/>
      <c r="AB35" s="10" t="inlineStr"/>
      <c r="AC35" s="10" t="n"/>
      <c r="AD35" s="10" t="n"/>
      <c r="AE35" s="10" t="n"/>
      <c r="AF35" s="10" t="n"/>
      <c r="AG35" s="10" t="n"/>
      <c r="AH35" s="10" t="n"/>
      <c r="AI35" s="10" t="n"/>
      <c r="AJ35" s="10" t="n"/>
      <c r="AK35" s="10" t="n"/>
      <c r="AL35" s="10" t="n"/>
      <c r="AM35" s="10" t="inlineStr">
        <is>
          <t>No</t>
        </is>
      </c>
      <c r="AN35" s="10" t="n"/>
      <c r="AO35" s="10" t="n"/>
      <c r="AP35" s="10">
        <f>IF(AND(AC35&lt;&gt;"",AO35&lt;&gt;"",AO35&gt;0),AC35/AO35,"")</f>
        <v/>
      </c>
      <c r="AQ35" s="10">
        <f>IF(AP35="","",IF(AP35&gt;=2,"A",IF(AP35&gt;=1.2,"B",IF(AP35&gt;=0.6,"C","D"))))</f>
        <v/>
      </c>
      <c r="AR35" s="10" t="inlineStr"/>
      <c r="AS35" s="11" t="inlineStr"/>
      <c r="AT35" s="10" t="inlineStr"/>
    </row>
    <row r="36">
      <c r="A36" s="10" t="inlineStr">
        <is>
          <t>W01-U4-IN</t>
        </is>
      </c>
      <c r="B36" s="10" t="inlineStr">
        <is>
          <t>W01-U4</t>
        </is>
      </c>
      <c r="C36" s="10" t="n">
        <v>1</v>
      </c>
      <c r="D36" s="11" t="n">
        <v>46240</v>
      </c>
      <c r="E36" s="10" t="inlineStr">
        <is>
          <t>Thursday</t>
        </is>
      </c>
      <c r="F36" s="10" t="inlineStr">
        <is>
          <t>Danny</t>
        </is>
      </c>
      <c r="G36" s="10" t="inlineStr">
        <is>
          <t>Built for what needs an ID check.</t>
        </is>
      </c>
      <c r="H36" s="10" t="inlineStr">
        <is>
          <t>Engage</t>
        </is>
      </c>
      <c r="I36" s="10" t="inlineStr">
        <is>
          <t>Static</t>
        </is>
      </c>
      <c r="J36" s="10" t="inlineStr">
        <is>
          <t>Instagram</t>
        </is>
      </c>
      <c r="K36" s="10" t="inlineStr">
        <is>
          <t>Adapted</t>
        </is>
      </c>
      <c r="L36" s="10" t="inlineStr">
        <is>
          <t>The 11pm ID check</t>
        </is>
      </c>
      <c r="M36" s="10" t="inlineStr">
        <is>
          <t>Book a demo</t>
        </is>
      </c>
      <c r="N36" s="10" t="inlineStr">
        <is>
          <t>No</t>
        </is>
      </c>
      <c r="O36" s="10" t="inlineStr">
        <is>
          <t>No</t>
        </is>
      </c>
      <c r="P36" s="10" t="inlineStr">
        <is>
          <t>Not started</t>
        </is>
      </c>
      <c r="Q36" s="10" t="inlineStr">
        <is>
          <t>Not started</t>
        </is>
      </c>
      <c r="R36" s="10" t="inlineStr"/>
      <c r="S36" s="10" t="inlineStr"/>
      <c r="T36" s="10" t="inlineStr"/>
      <c r="U36" s="10" t="n"/>
      <c r="V36" s="10">
        <f>IF(U36="","",IF(U36&gt;=70,"Pass","Hold"))</f>
        <v/>
      </c>
      <c r="W36" s="11" t="n">
        <v>46240</v>
      </c>
      <c r="X36" s="10" t="inlineStr">
        <is>
          <t>10:00 AM</t>
        </is>
      </c>
      <c r="Y36" s="10" t="inlineStr">
        <is>
          <t>Scheduled</t>
        </is>
      </c>
      <c r="Z36" s="11" t="n"/>
      <c r="AA36" s="10" t="inlineStr"/>
      <c r="AB36" s="10" t="inlineStr"/>
      <c r="AC36" s="10" t="n"/>
      <c r="AD36" s="10" t="n"/>
      <c r="AE36" s="10" t="n"/>
      <c r="AF36" s="10" t="n"/>
      <c r="AG36" s="10" t="n"/>
      <c r="AH36" s="10" t="n"/>
      <c r="AI36" s="10" t="n"/>
      <c r="AJ36" s="10" t="n"/>
      <c r="AK36" s="10" t="n"/>
      <c r="AL36" s="10" t="n"/>
      <c r="AM36" s="10" t="inlineStr">
        <is>
          <t>No</t>
        </is>
      </c>
      <c r="AN36" s="10" t="n"/>
      <c r="AO36" s="10" t="n"/>
      <c r="AP36" s="10">
        <f>IF(AND(AC36&lt;&gt;"",AO36&lt;&gt;"",AO36&gt;0),AC36/AO36,"")</f>
        <v/>
      </c>
      <c r="AQ36" s="10">
        <f>IF(AP36="","",IF(AP36&gt;=2,"A",IF(AP36&gt;=1.2,"B",IF(AP36&gt;=0.6,"C","D"))))</f>
        <v/>
      </c>
      <c r="AR36" s="10" t="inlineStr"/>
      <c r="AS36" s="11" t="inlineStr"/>
      <c r="AT36" s="10" t="inlineStr"/>
    </row>
    <row r="37">
      <c r="A37" s="10" t="inlineStr">
        <is>
          <t>W01-U5-IN</t>
        </is>
      </c>
      <c r="B37" s="10" t="inlineStr">
        <is>
          <t>W01-U5</t>
        </is>
      </c>
      <c r="C37" s="10" t="n">
        <v>1</v>
      </c>
      <c r="D37" s="11" t="n">
        <v>46241</v>
      </c>
      <c r="E37" s="10" t="inlineStr">
        <is>
          <t>Friday</t>
        </is>
      </c>
      <c r="F37" s="10" t="inlineStr">
        <is>
          <t>Danny</t>
        </is>
      </c>
      <c r="G37" s="10" t="inlineStr">
        <is>
          <t>(none — discovery/recap unit)</t>
        </is>
      </c>
      <c r="H37" s="10" t="inlineStr">
        <is>
          <t>Engage</t>
        </is>
      </c>
      <c r="I37" s="10" t="inlineStr">
        <is>
          <t>Text</t>
        </is>
      </c>
      <c r="J37" s="10" t="inlineStr">
        <is>
          <t>Instagram</t>
        </is>
      </c>
      <c r="K37" s="10" t="inlineStr">
        <is>
          <t>Primary</t>
        </is>
      </c>
      <c r="L37" s="10" t="inlineStr">
        <is>
          <t>What's your biggest headache?</t>
        </is>
      </c>
      <c r="M37" s="10" t="inlineStr">
        <is>
          <t>Engage (vote)</t>
        </is>
      </c>
      <c r="N37" s="10" t="inlineStr">
        <is>
          <t>No</t>
        </is>
      </c>
      <c r="O37" s="10" t="inlineStr">
        <is>
          <t>No</t>
        </is>
      </c>
      <c r="P37" s="10" t="inlineStr">
        <is>
          <t>Not started</t>
        </is>
      </c>
      <c r="Q37" s="10" t="inlineStr">
        <is>
          <t>Not started</t>
        </is>
      </c>
      <c r="R37" s="10" t="inlineStr"/>
      <c r="S37" s="10" t="inlineStr"/>
      <c r="T37" s="10" t="inlineStr"/>
      <c r="U37" s="10" t="n"/>
      <c r="V37" s="10">
        <f>IF(U37="","",IF(U37&gt;=70,"Pass","Hold"))</f>
        <v/>
      </c>
      <c r="W37" s="11" t="n">
        <v>46241</v>
      </c>
      <c r="X37" s="10" t="inlineStr">
        <is>
          <t>10:00 AM</t>
        </is>
      </c>
      <c r="Y37" s="10" t="inlineStr">
        <is>
          <t>Scheduled</t>
        </is>
      </c>
      <c r="Z37" s="11" t="n"/>
      <c r="AA37" s="10" t="inlineStr"/>
      <c r="AB37" s="10" t="inlineStr"/>
      <c r="AC37" s="10" t="n"/>
      <c r="AD37" s="10" t="n"/>
      <c r="AE37" s="10" t="n"/>
      <c r="AF37" s="10" t="n"/>
      <c r="AG37" s="10" t="n"/>
      <c r="AH37" s="10" t="n"/>
      <c r="AI37" s="10" t="n"/>
      <c r="AJ37" s="10" t="n"/>
      <c r="AK37" s="10" t="n"/>
      <c r="AL37" s="10" t="n"/>
      <c r="AM37" s="10" t="inlineStr">
        <is>
          <t>No</t>
        </is>
      </c>
      <c r="AN37" s="10" t="n"/>
      <c r="AO37" s="10" t="n"/>
      <c r="AP37" s="10">
        <f>IF(AND(AC37&lt;&gt;"",AO37&lt;&gt;"",AO37&gt;0),AC37/AO37,"")</f>
        <v/>
      </c>
      <c r="AQ37" s="10">
        <f>IF(AP37="","",IF(AP37&gt;=2,"A",IF(AP37&gt;=1.2,"B",IF(AP37&gt;=0.6,"C","D"))))</f>
        <v/>
      </c>
      <c r="AR37" s="10" t="inlineStr"/>
      <c r="AS37" s="11" t="inlineStr"/>
      <c r="AT37" s="10" t="inlineStr"/>
    </row>
    <row r="38">
      <c r="A38" s="10" t="inlineStr">
        <is>
          <t>W01-U5-LI</t>
        </is>
      </c>
      <c r="B38" s="10" t="inlineStr">
        <is>
          <t>W01-U5</t>
        </is>
      </c>
      <c r="C38" s="10" t="n">
        <v>1</v>
      </c>
      <c r="D38" s="11" t="n">
        <v>46241</v>
      </c>
      <c r="E38" s="10" t="inlineStr">
        <is>
          <t>Friday</t>
        </is>
      </c>
      <c r="F38" s="10" t="inlineStr">
        <is>
          <t>Danny</t>
        </is>
      </c>
      <c r="G38" s="10" t="inlineStr">
        <is>
          <t>(none — discovery/recap unit)</t>
        </is>
      </c>
      <c r="H38" s="10" t="inlineStr">
        <is>
          <t>Engage</t>
        </is>
      </c>
      <c r="I38" s="10" t="inlineStr">
        <is>
          <t>Text</t>
        </is>
      </c>
      <c r="J38" s="10" t="inlineStr">
        <is>
          <t>LinkedIn</t>
        </is>
      </c>
      <c r="K38" s="10" t="inlineStr">
        <is>
          <t>Adapted</t>
        </is>
      </c>
      <c r="L38" s="10" t="inlineStr">
        <is>
          <t>What's your biggest headache?</t>
        </is>
      </c>
      <c r="M38" s="10" t="inlineStr">
        <is>
          <t>Engage (vote)</t>
        </is>
      </c>
      <c r="N38" s="10" t="inlineStr">
        <is>
          <t>No</t>
        </is>
      </c>
      <c r="O38" s="10" t="inlineStr">
        <is>
          <t>No</t>
        </is>
      </c>
      <c r="P38" s="10" t="inlineStr">
        <is>
          <t>Not started</t>
        </is>
      </c>
      <c r="Q38" s="10" t="inlineStr">
        <is>
          <t>Not started</t>
        </is>
      </c>
      <c r="R38" s="10" t="inlineStr"/>
      <c r="S38" s="10" t="inlineStr"/>
      <c r="T38" s="10" t="inlineStr"/>
      <c r="U38" s="10" t="n"/>
      <c r="V38" s="10">
        <f>IF(U38="","",IF(U38&gt;=70,"Pass","Hold"))</f>
        <v/>
      </c>
      <c r="W38" s="11" t="n">
        <v>46241</v>
      </c>
      <c r="X38" s="10" t="inlineStr">
        <is>
          <t>10:00 AM</t>
        </is>
      </c>
      <c r="Y38" s="10" t="inlineStr">
        <is>
          <t>Scheduled</t>
        </is>
      </c>
      <c r="Z38" s="11" t="n"/>
      <c r="AA38" s="10" t="inlineStr"/>
      <c r="AB38" s="10" t="inlineStr"/>
      <c r="AC38" s="10" t="n"/>
      <c r="AD38" s="10" t="n"/>
      <c r="AE38" s="10" t="n"/>
      <c r="AF38" s="10" t="n"/>
      <c r="AG38" s="10" t="n"/>
      <c r="AH38" s="10" t="n"/>
      <c r="AI38" s="10" t="n"/>
      <c r="AJ38" s="10" t="n"/>
      <c r="AK38" s="10" t="n"/>
      <c r="AL38" s="10" t="n"/>
      <c r="AM38" s="10" t="inlineStr">
        <is>
          <t>No</t>
        </is>
      </c>
      <c r="AN38" s="10" t="n"/>
      <c r="AO38" s="10" t="n"/>
      <c r="AP38" s="10">
        <f>IF(AND(AC38&lt;&gt;"",AO38&lt;&gt;"",AO38&gt;0),AC38/AO38,"")</f>
        <v/>
      </c>
      <c r="AQ38" s="10">
        <f>IF(AP38="","",IF(AP38&gt;=2,"A",IF(AP38&gt;=1.2,"B",IF(AP38&gt;=0.6,"C","D"))))</f>
        <v/>
      </c>
      <c r="AR38" s="10" t="inlineStr"/>
      <c r="AS38" s="11" t="inlineStr"/>
      <c r="AT38" s="10" t="inlineStr"/>
    </row>
    <row r="39">
      <c r="A39" s="10" t="inlineStr">
        <is>
          <t>W01-U6-IN</t>
        </is>
      </c>
      <c r="B39" s="10" t="inlineStr">
        <is>
          <t>W01-U6</t>
        </is>
      </c>
      <c r="C39" s="10" t="n">
        <v>1</v>
      </c>
      <c r="D39" s="11" t="n">
        <v>46242</v>
      </c>
      <c r="E39" s="10" t="inlineStr">
        <is>
          <t>Saturday</t>
        </is>
      </c>
      <c r="F39" s="10" t="inlineStr">
        <is>
          <t>Danny</t>
        </is>
      </c>
      <c r="G39" s="10" t="inlineStr">
        <is>
          <t>Your regulars, remembered automatically.</t>
        </is>
      </c>
      <c r="H39" s="10" t="inlineStr">
        <is>
          <t>Inspire</t>
        </is>
      </c>
      <c r="I39" s="10" t="inlineStr">
        <is>
          <t>Static</t>
        </is>
      </c>
      <c r="J39" s="10" t="inlineStr">
        <is>
          <t>Instagram</t>
        </is>
      </c>
      <c r="K39" s="10" t="inlineStr">
        <is>
          <t>Primary</t>
        </is>
      </c>
      <c r="L39" s="10" t="inlineStr">
        <is>
          <t>The edge a chain can't buy</t>
        </is>
      </c>
      <c r="M39" s="10" t="inlineStr">
        <is>
          <t>Book a demo</t>
        </is>
      </c>
      <c r="N39" s="10" t="inlineStr">
        <is>
          <t>No</t>
        </is>
      </c>
      <c r="O39" s="10" t="inlineStr">
        <is>
          <t>No</t>
        </is>
      </c>
      <c r="P39" s="10" t="inlineStr">
        <is>
          <t>Not started</t>
        </is>
      </c>
      <c r="Q39" s="10" t="inlineStr">
        <is>
          <t>Not started</t>
        </is>
      </c>
      <c r="R39" s="10" t="inlineStr"/>
      <c r="S39" s="10" t="inlineStr"/>
      <c r="T39" s="10" t="inlineStr"/>
      <c r="U39" s="10" t="n"/>
      <c r="V39" s="10">
        <f>IF(U39="","",IF(U39&gt;=70,"Pass","Hold"))</f>
        <v/>
      </c>
      <c r="W39" s="11" t="n">
        <v>46242</v>
      </c>
      <c r="X39" s="10" t="inlineStr">
        <is>
          <t>10:00 AM</t>
        </is>
      </c>
      <c r="Y39" s="10" t="inlineStr">
        <is>
          <t>Scheduled</t>
        </is>
      </c>
      <c r="Z39" s="11" t="n"/>
      <c r="AA39" s="10" t="inlineStr"/>
      <c r="AB39" s="10" t="inlineStr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inlineStr">
        <is>
          <t>No</t>
        </is>
      </c>
      <c r="AN39" s="10" t="n"/>
      <c r="AO39" s="10" t="n"/>
      <c r="AP39" s="10">
        <f>IF(AND(AC39&lt;&gt;"",AO39&lt;&gt;"",AO39&gt;0),AC39/AO39,"")</f>
        <v/>
      </c>
      <c r="AQ39" s="10">
        <f>IF(AP39="","",IF(AP39&gt;=2,"A",IF(AP39&gt;=1.2,"B",IF(AP39&gt;=0.6,"C","D"))))</f>
        <v/>
      </c>
      <c r="AR39" s="10" t="inlineStr"/>
      <c r="AS39" s="11" t="inlineStr"/>
      <c r="AT39" s="10" t="inlineStr"/>
    </row>
    <row r="40">
      <c r="A40" s="10" t="inlineStr">
        <is>
          <t>W01-U6-FA</t>
        </is>
      </c>
      <c r="B40" s="10" t="inlineStr">
        <is>
          <t>W01-U6</t>
        </is>
      </c>
      <c r="C40" s="10" t="n">
        <v>1</v>
      </c>
      <c r="D40" s="11" t="n">
        <v>46242</v>
      </c>
      <c r="E40" s="10" t="inlineStr">
        <is>
          <t>Saturday</t>
        </is>
      </c>
      <c r="F40" s="10" t="inlineStr">
        <is>
          <t>Danny</t>
        </is>
      </c>
      <c r="G40" s="10" t="inlineStr">
        <is>
          <t>Your regulars, remembered automatically.</t>
        </is>
      </c>
      <c r="H40" s="10" t="inlineStr">
        <is>
          <t>Inspire</t>
        </is>
      </c>
      <c r="I40" s="10" t="inlineStr">
        <is>
          <t>Static</t>
        </is>
      </c>
      <c r="J40" s="10" t="inlineStr">
        <is>
          <t>Facebook</t>
        </is>
      </c>
      <c r="K40" s="10" t="inlineStr">
        <is>
          <t>Mirror</t>
        </is>
      </c>
      <c r="L40" s="10" t="inlineStr">
        <is>
          <t>The edge a chain can't buy</t>
        </is>
      </c>
      <c r="M40" s="10" t="inlineStr">
        <is>
          <t>Book a demo</t>
        </is>
      </c>
      <c r="N40" s="10" t="inlineStr">
        <is>
          <t>No</t>
        </is>
      </c>
      <c r="O40" s="10" t="inlineStr">
        <is>
          <t>No</t>
        </is>
      </c>
      <c r="P40" s="10" t="inlineStr">
        <is>
          <t>Not started</t>
        </is>
      </c>
      <c r="Q40" s="10" t="inlineStr">
        <is>
          <t>Not started</t>
        </is>
      </c>
      <c r="R40" s="10" t="inlineStr"/>
      <c r="S40" s="10" t="inlineStr"/>
      <c r="T40" s="10" t="inlineStr"/>
      <c r="U40" s="10" t="n"/>
      <c r="V40" s="10">
        <f>IF(U40="","",IF(U40&gt;=70,"Pass","Hold"))</f>
        <v/>
      </c>
      <c r="W40" s="11" t="n">
        <v>46242</v>
      </c>
      <c r="X40" s="10" t="inlineStr">
        <is>
          <t>10:00 AM</t>
        </is>
      </c>
      <c r="Y40" s="10" t="inlineStr">
        <is>
          <t>Scheduled</t>
        </is>
      </c>
      <c r="Z40" s="11" t="n"/>
      <c r="AA40" s="10" t="inlineStr"/>
      <c r="AB40" s="10" t="inlineStr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inlineStr">
        <is>
          <t>No</t>
        </is>
      </c>
      <c r="AN40" s="10" t="n"/>
      <c r="AO40" s="10" t="n"/>
      <c r="AP40" s="10">
        <f>IF(AND(AC40&lt;&gt;"",AO40&lt;&gt;"",AO40&gt;0),AC40/AO40,"")</f>
        <v/>
      </c>
      <c r="AQ40" s="10">
        <f>IF(AP40="","",IF(AP40&gt;=2,"A",IF(AP40&gt;=1.2,"B",IF(AP40&gt;=0.6,"C","D"))))</f>
        <v/>
      </c>
      <c r="AR40" s="10" t="inlineStr"/>
      <c r="AS40" s="11" t="inlineStr"/>
      <c r="AT40" s="10" t="inlineStr"/>
    </row>
    <row r="41">
      <c r="A41" s="10" t="inlineStr">
        <is>
          <t>W01-U6-X</t>
        </is>
      </c>
      <c r="B41" s="10" t="inlineStr">
        <is>
          <t>W01-U6</t>
        </is>
      </c>
      <c r="C41" s="10" t="n">
        <v>1</v>
      </c>
      <c r="D41" s="11" t="n">
        <v>46242</v>
      </c>
      <c r="E41" s="10" t="inlineStr">
        <is>
          <t>Saturday</t>
        </is>
      </c>
      <c r="F41" s="10" t="inlineStr">
        <is>
          <t>Danny</t>
        </is>
      </c>
      <c r="G41" s="10" t="inlineStr">
        <is>
          <t>Your regulars, remembered automatically.</t>
        </is>
      </c>
      <c r="H41" s="10" t="inlineStr">
        <is>
          <t>Inspire</t>
        </is>
      </c>
      <c r="I41" s="10" t="inlineStr">
        <is>
          <t>Static</t>
        </is>
      </c>
      <c r="J41" s="10" t="inlineStr">
        <is>
          <t>X</t>
        </is>
      </c>
      <c r="K41" s="10" t="inlineStr">
        <is>
          <t>Mirror</t>
        </is>
      </c>
      <c r="L41" s="10" t="inlineStr">
        <is>
          <t>The edge a chain can't buy</t>
        </is>
      </c>
      <c r="M41" s="10" t="inlineStr">
        <is>
          <t>Book a demo</t>
        </is>
      </c>
      <c r="N41" s="10" t="inlineStr">
        <is>
          <t>No</t>
        </is>
      </c>
      <c r="O41" s="10" t="inlineStr">
        <is>
          <t>No</t>
        </is>
      </c>
      <c r="P41" s="10" t="inlineStr">
        <is>
          <t>Not started</t>
        </is>
      </c>
      <c r="Q41" s="10" t="inlineStr">
        <is>
          <t>Not started</t>
        </is>
      </c>
      <c r="R41" s="10" t="inlineStr"/>
      <c r="S41" s="10" t="inlineStr"/>
      <c r="T41" s="10" t="inlineStr"/>
      <c r="U41" s="10" t="n"/>
      <c r="V41" s="10">
        <f>IF(U41="","",IF(U41&gt;=70,"Pass","Hold"))</f>
        <v/>
      </c>
      <c r="W41" s="11" t="n">
        <v>46242</v>
      </c>
      <c r="X41" s="10" t="inlineStr">
        <is>
          <t>10:00 AM</t>
        </is>
      </c>
      <c r="Y41" s="10" t="inlineStr">
        <is>
          <t>Scheduled</t>
        </is>
      </c>
      <c r="Z41" s="11" t="n"/>
      <c r="AA41" s="10" t="inlineStr"/>
      <c r="AB41" s="10" t="inlineStr"/>
      <c r="AC41" s="10" t="n"/>
      <c r="AD41" s="10" t="n"/>
      <c r="AE41" s="10" t="n"/>
      <c r="AF41" s="10" t="n"/>
      <c r="AG41" s="10" t="n"/>
      <c r="AH41" s="10" t="n"/>
      <c r="AI41" s="10" t="n"/>
      <c r="AJ41" s="10" t="n"/>
      <c r="AK41" s="10" t="n"/>
      <c r="AL41" s="10" t="n"/>
      <c r="AM41" s="10" t="inlineStr">
        <is>
          <t>No</t>
        </is>
      </c>
      <c r="AN41" s="10" t="n"/>
      <c r="AO41" s="10" t="n"/>
      <c r="AP41" s="10">
        <f>IF(AND(AC41&lt;&gt;"",AO41&lt;&gt;"",AO41&gt;0),AC41/AO41,"")</f>
        <v/>
      </c>
      <c r="AQ41" s="10">
        <f>IF(AP41="","",IF(AP41&gt;=2,"A",IF(AP41&gt;=1.2,"B",IF(AP41&gt;=0.6,"C","D"))))</f>
        <v/>
      </c>
      <c r="AR41" s="10" t="inlineStr"/>
      <c r="AS41" s="11" t="inlineStr"/>
      <c r="AT41" s="10" t="inlineStr"/>
    </row>
    <row r="42">
      <c r="A42" s="10" t="inlineStr">
        <is>
          <t>W02-U1-LI</t>
        </is>
      </c>
      <c r="B42" s="10" t="inlineStr">
        <is>
          <t>W02-U1</t>
        </is>
      </c>
      <c r="C42" s="10" t="n">
        <v>2</v>
      </c>
      <c r="D42" s="11" t="n">
        <v>46244</v>
      </c>
      <c r="E42" s="10" t="inlineStr">
        <is>
          <t>Monday</t>
        </is>
      </c>
      <c r="F42" s="10" t="inlineStr">
        <is>
          <t>Ray</t>
        </is>
      </c>
      <c r="G42" s="10" t="inlineStr">
        <is>
          <t>Built for what needs an ID check.</t>
        </is>
      </c>
      <c r="H42" s="10" t="inlineStr">
        <is>
          <t>Educate</t>
        </is>
      </c>
      <c r="I42" s="10" t="inlineStr">
        <is>
          <t>Text</t>
        </is>
      </c>
      <c r="J42" s="10" t="inlineStr">
        <is>
          <t>LinkedIn</t>
        </is>
      </c>
      <c r="K42" s="10" t="inlineStr">
        <is>
          <t>Primary</t>
        </is>
      </c>
      <c r="L42" s="10" t="inlineStr">
        <is>
          <t>Hard-block vs. soft-block age verification</t>
        </is>
      </c>
      <c r="M42" s="10" t="inlineStr">
        <is>
          <t>Read more (link)</t>
        </is>
      </c>
      <c r="N42" s="10" t="inlineStr">
        <is>
          <t>Yes</t>
        </is>
      </c>
      <c r="O42" s="10" t="inlineStr">
        <is>
          <t>No</t>
        </is>
      </c>
      <c r="P42" s="10" t="inlineStr">
        <is>
          <t>Not started</t>
        </is>
      </c>
      <c r="Q42" s="10" t="inlineStr">
        <is>
          <t>Not started</t>
        </is>
      </c>
      <c r="R42" s="10" t="inlineStr"/>
      <c r="S42" s="10" t="inlineStr"/>
      <c r="T42" s="10" t="inlineStr"/>
      <c r="U42" s="10" t="n"/>
      <c r="V42" s="10">
        <f>IF(U42="","",IF(U42&gt;=70,"Pass","Hold"))</f>
        <v/>
      </c>
      <c r="W42" s="11" t="n">
        <v>46244</v>
      </c>
      <c r="X42" s="10" t="inlineStr">
        <is>
          <t>10:00 AM</t>
        </is>
      </c>
      <c r="Y42" s="10" t="inlineStr">
        <is>
          <t>Scheduled</t>
        </is>
      </c>
      <c r="Z42" s="11" t="n"/>
      <c r="AA42" s="10" t="inlineStr"/>
      <c r="AB42" s="10" t="inlineStr"/>
      <c r="AC42" s="10" t="n"/>
      <c r="AD42" s="10" t="n"/>
      <c r="AE42" s="10" t="n"/>
      <c r="AF42" s="10" t="n"/>
      <c r="AG42" s="10" t="n"/>
      <c r="AH42" s="10" t="n"/>
      <c r="AI42" s="10" t="n"/>
      <c r="AJ42" s="10" t="n"/>
      <c r="AK42" s="10" t="n"/>
      <c r="AL42" s="10" t="n"/>
      <c r="AM42" s="10" t="inlineStr">
        <is>
          <t>No</t>
        </is>
      </c>
      <c r="AN42" s="10" t="n"/>
      <c r="AO42" s="10" t="n"/>
      <c r="AP42" s="10">
        <f>IF(AND(AC42&lt;&gt;"",AO42&lt;&gt;"",AO42&gt;0),AC42/AO42,"")</f>
        <v/>
      </c>
      <c r="AQ42" s="10">
        <f>IF(AP42="","",IF(AP42&gt;=2,"A",IF(AP42&gt;=1.2,"B",IF(AP42&gt;=0.6,"C","D"))))</f>
        <v/>
      </c>
      <c r="AR42" s="10" t="inlineStr"/>
      <c r="AS42" s="11" t="inlineStr"/>
      <c r="AT42" s="10" t="inlineStr"/>
    </row>
    <row r="43">
      <c r="A43" s="10" t="inlineStr">
        <is>
          <t>W02-U1-FA</t>
        </is>
      </c>
      <c r="B43" s="10" t="inlineStr">
        <is>
          <t>W02-U1</t>
        </is>
      </c>
      <c r="C43" s="10" t="n">
        <v>2</v>
      </c>
      <c r="D43" s="11" t="n">
        <v>46244</v>
      </c>
      <c r="E43" s="10" t="inlineStr">
        <is>
          <t>Monday</t>
        </is>
      </c>
      <c r="F43" s="10" t="inlineStr">
        <is>
          <t>Ray</t>
        </is>
      </c>
      <c r="G43" s="10" t="inlineStr">
        <is>
          <t>Built for what needs an ID check.</t>
        </is>
      </c>
      <c r="H43" s="10" t="inlineStr">
        <is>
          <t>Educate</t>
        </is>
      </c>
      <c r="I43" s="10" t="inlineStr">
        <is>
          <t>Text</t>
        </is>
      </c>
      <c r="J43" s="10" t="inlineStr">
        <is>
          <t>Facebook</t>
        </is>
      </c>
      <c r="K43" s="10" t="inlineStr">
        <is>
          <t>Primary</t>
        </is>
      </c>
      <c r="L43" s="10" t="inlineStr">
        <is>
          <t>Hard-block vs. soft-block age verification</t>
        </is>
      </c>
      <c r="M43" s="10" t="inlineStr">
        <is>
          <t>Read more (link)</t>
        </is>
      </c>
      <c r="N43" s="10" t="inlineStr">
        <is>
          <t>Yes</t>
        </is>
      </c>
      <c r="O43" s="10" t="inlineStr">
        <is>
          <t>No</t>
        </is>
      </c>
      <c r="P43" s="10" t="inlineStr">
        <is>
          <t>Not started</t>
        </is>
      </c>
      <c r="Q43" s="10" t="inlineStr">
        <is>
          <t>Not started</t>
        </is>
      </c>
      <c r="R43" s="10" t="inlineStr"/>
      <c r="S43" s="10" t="inlineStr"/>
      <c r="T43" s="10" t="inlineStr"/>
      <c r="U43" s="10" t="n"/>
      <c r="V43" s="10">
        <f>IF(U43="","",IF(U43&gt;=70,"Pass","Hold"))</f>
        <v/>
      </c>
      <c r="W43" s="11" t="n">
        <v>46244</v>
      </c>
      <c r="X43" s="10" t="inlineStr">
        <is>
          <t>10:00 AM</t>
        </is>
      </c>
      <c r="Y43" s="10" t="inlineStr">
        <is>
          <t>Scheduled</t>
        </is>
      </c>
      <c r="Z43" s="11" t="n"/>
      <c r="AA43" s="10" t="inlineStr"/>
      <c r="AB43" s="10" t="inlineStr"/>
      <c r="AC43" s="10" t="n"/>
      <c r="AD43" s="10" t="n"/>
      <c r="AE43" s="10" t="n"/>
      <c r="AF43" s="10" t="n"/>
      <c r="AG43" s="10" t="n"/>
      <c r="AH43" s="10" t="n"/>
      <c r="AI43" s="10" t="n"/>
      <c r="AJ43" s="10" t="n"/>
      <c r="AK43" s="10" t="n"/>
      <c r="AL43" s="10" t="n"/>
      <c r="AM43" s="10" t="inlineStr">
        <is>
          <t>No</t>
        </is>
      </c>
      <c r="AN43" s="10" t="n"/>
      <c r="AO43" s="10" t="n"/>
      <c r="AP43" s="10">
        <f>IF(AND(AC43&lt;&gt;"",AO43&lt;&gt;"",AO43&gt;0),AC43/AO43,"")</f>
        <v/>
      </c>
      <c r="AQ43" s="10">
        <f>IF(AP43="","",IF(AP43&gt;=2,"A",IF(AP43&gt;=1.2,"B",IF(AP43&gt;=0.6,"C","D"))))</f>
        <v/>
      </c>
      <c r="AR43" s="10" t="inlineStr"/>
      <c r="AS43" s="11" t="inlineStr"/>
      <c r="AT43" s="10" t="inlineStr"/>
    </row>
    <row r="44">
      <c r="A44" s="10" t="inlineStr">
        <is>
          <t>W02-U1-BL</t>
        </is>
      </c>
      <c r="B44" s="10" t="inlineStr">
        <is>
          <t>W02-U1</t>
        </is>
      </c>
      <c r="C44" s="10" t="n">
        <v>2</v>
      </c>
      <c r="D44" s="11" t="n">
        <v>46244</v>
      </c>
      <c r="E44" s="10" t="inlineStr">
        <is>
          <t>Monday</t>
        </is>
      </c>
      <c r="F44" s="10" t="inlineStr">
        <is>
          <t>Ray</t>
        </is>
      </c>
      <c r="G44" s="10" t="inlineStr">
        <is>
          <t>Built for what needs an ID check.</t>
        </is>
      </c>
      <c r="H44" s="10" t="inlineStr">
        <is>
          <t>Educate</t>
        </is>
      </c>
      <c r="I44" s="10" t="inlineStr">
        <is>
          <t>Text</t>
        </is>
      </c>
      <c r="J44" s="10" t="inlineStr">
        <is>
          <t>Blog/SEO</t>
        </is>
      </c>
      <c r="K44" s="10" t="inlineStr">
        <is>
          <t>Primary</t>
        </is>
      </c>
      <c r="L44" s="10" t="inlineStr">
        <is>
          <t>Hard-block vs. soft-block age verification</t>
        </is>
      </c>
      <c r="M44" s="10" t="inlineStr">
        <is>
          <t>Read more (link)</t>
        </is>
      </c>
      <c r="N44" s="10" t="inlineStr">
        <is>
          <t>Yes</t>
        </is>
      </c>
      <c r="O44" s="10" t="inlineStr">
        <is>
          <t>No</t>
        </is>
      </c>
      <c r="P44" s="10" t="inlineStr">
        <is>
          <t>Not started</t>
        </is>
      </c>
      <c r="Q44" s="10" t="inlineStr">
        <is>
          <t>Not started</t>
        </is>
      </c>
      <c r="R44" s="10" t="inlineStr"/>
      <c r="S44" s="10" t="inlineStr"/>
      <c r="T44" s="10" t="inlineStr"/>
      <c r="U44" s="10" t="n"/>
      <c r="V44" s="10">
        <f>IF(U44="","",IF(U44&gt;=70,"Pass","Hold"))</f>
        <v/>
      </c>
      <c r="W44" s="11" t="n">
        <v>46244</v>
      </c>
      <c r="X44" s="10" t="inlineStr">
        <is>
          <t>10:00 AM</t>
        </is>
      </c>
      <c r="Y44" s="10" t="inlineStr">
        <is>
          <t>Scheduled</t>
        </is>
      </c>
      <c r="Z44" s="11" t="n"/>
      <c r="AA44" s="10" t="inlineStr"/>
      <c r="AB44" s="10" t="inlineStr"/>
      <c r="AC44" s="10" t="n"/>
      <c r="AD44" s="10" t="n"/>
      <c r="AE44" s="10" t="n"/>
      <c r="AF44" s="10" t="n"/>
      <c r="AG44" s="10" t="n"/>
      <c r="AH44" s="10" t="n"/>
      <c r="AI44" s="10" t="n"/>
      <c r="AJ44" s="10" t="n"/>
      <c r="AK44" s="10" t="n"/>
      <c r="AL44" s="10" t="n"/>
      <c r="AM44" s="10" t="inlineStr">
        <is>
          <t>No</t>
        </is>
      </c>
      <c r="AN44" s="10" t="n"/>
      <c r="AO44" s="10" t="n"/>
      <c r="AP44" s="10">
        <f>IF(AND(AC44&lt;&gt;"",AO44&lt;&gt;"",AO44&gt;0),AC44/AO44,"")</f>
        <v/>
      </c>
      <c r="AQ44" s="10">
        <f>IF(AP44="","",IF(AP44&gt;=2,"A",IF(AP44&gt;=1.2,"B",IF(AP44&gt;=0.6,"C","D"))))</f>
        <v/>
      </c>
      <c r="AR44" s="10" t="inlineStr"/>
      <c r="AS44" s="11" t="inlineStr"/>
      <c r="AT44" s="10" t="inlineStr"/>
    </row>
    <row r="45">
      <c r="A45" s="10" t="inlineStr">
        <is>
          <t>W02-U1-X</t>
        </is>
      </c>
      <c r="B45" s="10" t="inlineStr">
        <is>
          <t>W02-U1</t>
        </is>
      </c>
      <c r="C45" s="10" t="n">
        <v>2</v>
      </c>
      <c r="D45" s="11" t="n">
        <v>46244</v>
      </c>
      <c r="E45" s="10" t="inlineStr">
        <is>
          <t>Monday</t>
        </is>
      </c>
      <c r="F45" s="10" t="inlineStr">
        <is>
          <t>Ray</t>
        </is>
      </c>
      <c r="G45" s="10" t="inlineStr">
        <is>
          <t>Built for what needs an ID check.</t>
        </is>
      </c>
      <c r="H45" s="10" t="inlineStr">
        <is>
          <t>Educate</t>
        </is>
      </c>
      <c r="I45" s="10" t="inlineStr">
        <is>
          <t>Text</t>
        </is>
      </c>
      <c r="J45" s="10" t="inlineStr">
        <is>
          <t>X</t>
        </is>
      </c>
      <c r="K45" s="10" t="inlineStr">
        <is>
          <t>Mirror</t>
        </is>
      </c>
      <c r="L45" s="10" t="inlineStr">
        <is>
          <t>Hard-block vs. soft-block age verification</t>
        </is>
      </c>
      <c r="M45" s="10" t="inlineStr">
        <is>
          <t>Read more (link)</t>
        </is>
      </c>
      <c r="N45" s="10" t="inlineStr">
        <is>
          <t>Yes</t>
        </is>
      </c>
      <c r="O45" s="10" t="inlineStr">
        <is>
          <t>No</t>
        </is>
      </c>
      <c r="P45" s="10" t="inlineStr">
        <is>
          <t>Not started</t>
        </is>
      </c>
      <c r="Q45" s="10" t="inlineStr">
        <is>
          <t>Not started</t>
        </is>
      </c>
      <c r="R45" s="10" t="inlineStr"/>
      <c r="S45" s="10" t="inlineStr"/>
      <c r="T45" s="10" t="inlineStr"/>
      <c r="U45" s="10" t="n"/>
      <c r="V45" s="10">
        <f>IF(U45="","",IF(U45&gt;=70,"Pass","Hold"))</f>
        <v/>
      </c>
      <c r="W45" s="11" t="n">
        <v>46244</v>
      </c>
      <c r="X45" s="10" t="inlineStr">
        <is>
          <t>10:00 AM</t>
        </is>
      </c>
      <c r="Y45" s="10" t="inlineStr">
        <is>
          <t>Scheduled</t>
        </is>
      </c>
      <c r="Z45" s="11" t="n"/>
      <c r="AA45" s="10" t="inlineStr"/>
      <c r="AB45" s="10" t="inlineStr"/>
      <c r="AC45" s="10" t="n"/>
      <c r="AD45" s="10" t="n"/>
      <c r="AE45" s="10" t="n"/>
      <c r="AF45" s="10" t="n"/>
      <c r="AG45" s="10" t="n"/>
      <c r="AH45" s="10" t="n"/>
      <c r="AI45" s="10" t="n"/>
      <c r="AJ45" s="10" t="n"/>
      <c r="AK45" s="10" t="n"/>
      <c r="AL45" s="10" t="n"/>
      <c r="AM45" s="10" t="inlineStr">
        <is>
          <t>No</t>
        </is>
      </c>
      <c r="AN45" s="10" t="n"/>
      <c r="AO45" s="10" t="n"/>
      <c r="AP45" s="10">
        <f>IF(AND(AC45&lt;&gt;"",AO45&lt;&gt;"",AO45&gt;0),AC45/AO45,"")</f>
        <v/>
      </c>
      <c r="AQ45" s="10">
        <f>IF(AP45="","",IF(AP45&gt;=2,"A",IF(AP45&gt;=1.2,"B",IF(AP45&gt;=0.6,"C","D"))))</f>
        <v/>
      </c>
      <c r="AR45" s="10" t="inlineStr"/>
      <c r="AS45" s="11" t="inlineStr"/>
      <c r="AT45" s="10" t="inlineStr"/>
    </row>
    <row r="46">
      <c r="A46" s="10" t="inlineStr">
        <is>
          <t>W02-U2-IN</t>
        </is>
      </c>
      <c r="B46" s="10" t="inlineStr">
        <is>
          <t>W02-U2</t>
        </is>
      </c>
      <c r="C46" s="10" t="n">
        <v>2</v>
      </c>
      <c r="D46" s="11" t="n">
        <v>46245</v>
      </c>
      <c r="E46" s="10" t="inlineStr">
        <is>
          <t>Tuesday</t>
        </is>
      </c>
      <c r="F46" s="10" t="inlineStr">
        <is>
          <t>Ray</t>
        </is>
      </c>
      <c r="G46" s="10" t="inlineStr">
        <is>
          <t>Built for what needs an ID check.</t>
        </is>
      </c>
      <c r="H46" s="10" t="inlineStr">
        <is>
          <t>Educate</t>
        </is>
      </c>
      <c r="I46" s="10" t="inlineStr">
        <is>
          <t>Carousel</t>
        </is>
      </c>
      <c r="J46" s="10" t="inlineStr">
        <is>
          <t>Instagram</t>
        </is>
      </c>
      <c r="K46" s="10" t="inlineStr">
        <is>
          <t>Primary</t>
        </is>
      </c>
      <c r="L46" s="10" t="inlineStr">
        <is>
          <t>SHAFT and TCPA, explained plainly</t>
        </is>
      </c>
      <c r="M46" s="10" t="inlineStr">
        <is>
          <t>Book a demo</t>
        </is>
      </c>
      <c r="N46" s="10" t="inlineStr">
        <is>
          <t>Yes</t>
        </is>
      </c>
      <c r="O46" s="10" t="inlineStr">
        <is>
          <t>No</t>
        </is>
      </c>
      <c r="P46" s="10" t="inlineStr">
        <is>
          <t>Not started</t>
        </is>
      </c>
      <c r="Q46" s="10" t="inlineStr">
        <is>
          <t>Not started</t>
        </is>
      </c>
      <c r="R46" s="10" t="inlineStr"/>
      <c r="S46" s="10" t="inlineStr"/>
      <c r="T46" s="10" t="inlineStr"/>
      <c r="U46" s="10" t="n"/>
      <c r="V46" s="10">
        <f>IF(U46="","",IF(U46&gt;=70,"Pass","Hold"))</f>
        <v/>
      </c>
      <c r="W46" s="11" t="n">
        <v>46245</v>
      </c>
      <c r="X46" s="10" t="inlineStr">
        <is>
          <t>10:00 AM</t>
        </is>
      </c>
      <c r="Y46" s="10" t="inlineStr">
        <is>
          <t>Scheduled</t>
        </is>
      </c>
      <c r="Z46" s="11" t="n"/>
      <c r="AA46" s="10" t="inlineStr"/>
      <c r="AB46" s="10" t="inlineStr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inlineStr">
        <is>
          <t>No</t>
        </is>
      </c>
      <c r="AN46" s="10" t="n"/>
      <c r="AO46" s="10" t="n"/>
      <c r="AP46" s="10">
        <f>IF(AND(AC46&lt;&gt;"",AO46&lt;&gt;"",AO46&gt;0),AC46/AO46,"")</f>
        <v/>
      </c>
      <c r="AQ46" s="10">
        <f>IF(AP46="","",IF(AP46&gt;=2,"A",IF(AP46&gt;=1.2,"B",IF(AP46&gt;=0.6,"C","D"))))</f>
        <v/>
      </c>
      <c r="AR46" s="10" t="inlineStr"/>
      <c r="AS46" s="11" t="inlineStr"/>
      <c r="AT46" s="10" t="inlineStr"/>
    </row>
    <row r="47">
      <c r="A47" s="10" t="inlineStr">
        <is>
          <t>W02-U2-FA</t>
        </is>
      </c>
      <c r="B47" s="10" t="inlineStr">
        <is>
          <t>W02-U2</t>
        </is>
      </c>
      <c r="C47" s="10" t="n">
        <v>2</v>
      </c>
      <c r="D47" s="11" t="n">
        <v>46245</v>
      </c>
      <c r="E47" s="10" t="inlineStr">
        <is>
          <t>Tuesday</t>
        </is>
      </c>
      <c r="F47" s="10" t="inlineStr">
        <is>
          <t>Ray</t>
        </is>
      </c>
      <c r="G47" s="10" t="inlineStr">
        <is>
          <t>Built for what needs an ID check.</t>
        </is>
      </c>
      <c r="H47" s="10" t="inlineStr">
        <is>
          <t>Educate</t>
        </is>
      </c>
      <c r="I47" s="10" t="inlineStr">
        <is>
          <t>Carousel</t>
        </is>
      </c>
      <c r="J47" s="10" t="inlineStr">
        <is>
          <t>Facebook</t>
        </is>
      </c>
      <c r="K47" s="10" t="inlineStr">
        <is>
          <t>Mirror</t>
        </is>
      </c>
      <c r="L47" s="10" t="inlineStr">
        <is>
          <t>SHAFT and TCPA, explained plainly</t>
        </is>
      </c>
      <c r="M47" s="10" t="inlineStr">
        <is>
          <t>Book a demo</t>
        </is>
      </c>
      <c r="N47" s="10" t="inlineStr">
        <is>
          <t>Yes</t>
        </is>
      </c>
      <c r="O47" s="10" t="inlineStr">
        <is>
          <t>No</t>
        </is>
      </c>
      <c r="P47" s="10" t="inlineStr">
        <is>
          <t>Not started</t>
        </is>
      </c>
      <c r="Q47" s="10" t="inlineStr">
        <is>
          <t>Not started</t>
        </is>
      </c>
      <c r="R47" s="10" t="inlineStr"/>
      <c r="S47" s="10" t="inlineStr"/>
      <c r="T47" s="10" t="inlineStr"/>
      <c r="U47" s="10" t="n"/>
      <c r="V47" s="10">
        <f>IF(U47="","",IF(U47&gt;=70,"Pass","Hold"))</f>
        <v/>
      </c>
      <c r="W47" s="11" t="n">
        <v>46245</v>
      </c>
      <c r="X47" s="10" t="inlineStr">
        <is>
          <t>10:00 AM</t>
        </is>
      </c>
      <c r="Y47" s="10" t="inlineStr">
        <is>
          <t>Scheduled</t>
        </is>
      </c>
      <c r="Z47" s="11" t="n"/>
      <c r="AA47" s="10" t="inlineStr"/>
      <c r="AB47" s="10" t="inlineStr"/>
      <c r="AC47" s="10" t="n"/>
      <c r="AD47" s="10" t="n"/>
      <c r="AE47" s="10" t="n"/>
      <c r="AF47" s="10" t="n"/>
      <c r="AG47" s="10" t="n"/>
      <c r="AH47" s="10" t="n"/>
      <c r="AI47" s="10" t="n"/>
      <c r="AJ47" s="10" t="n"/>
      <c r="AK47" s="10" t="n"/>
      <c r="AL47" s="10" t="n"/>
      <c r="AM47" s="10" t="inlineStr">
        <is>
          <t>No</t>
        </is>
      </c>
      <c r="AN47" s="10" t="n"/>
      <c r="AO47" s="10" t="n"/>
      <c r="AP47" s="10">
        <f>IF(AND(AC47&lt;&gt;"",AO47&lt;&gt;"",AO47&gt;0),AC47/AO47,"")</f>
        <v/>
      </c>
      <c r="AQ47" s="10">
        <f>IF(AP47="","",IF(AP47&gt;=2,"A",IF(AP47&gt;=1.2,"B",IF(AP47&gt;=0.6,"C","D"))))</f>
        <v/>
      </c>
      <c r="AR47" s="10" t="inlineStr"/>
      <c r="AS47" s="11" t="inlineStr"/>
      <c r="AT47" s="10" t="inlineStr"/>
    </row>
    <row r="48">
      <c r="A48" s="10" t="inlineStr">
        <is>
          <t>W02-U2-LI</t>
        </is>
      </c>
      <c r="B48" s="10" t="inlineStr">
        <is>
          <t>W02-U2</t>
        </is>
      </c>
      <c r="C48" s="10" t="n">
        <v>2</v>
      </c>
      <c r="D48" s="11" t="n">
        <v>46245</v>
      </c>
      <c r="E48" s="10" t="inlineStr">
        <is>
          <t>Tuesday</t>
        </is>
      </c>
      <c r="F48" s="10" t="inlineStr">
        <is>
          <t>Ray</t>
        </is>
      </c>
      <c r="G48" s="10" t="inlineStr">
        <is>
          <t>Built for what needs an ID check.</t>
        </is>
      </c>
      <c r="H48" s="10" t="inlineStr">
        <is>
          <t>Educate</t>
        </is>
      </c>
      <c r="I48" s="10" t="inlineStr">
        <is>
          <t>Carousel</t>
        </is>
      </c>
      <c r="J48" s="10" t="inlineStr">
        <is>
          <t>LinkedIn</t>
        </is>
      </c>
      <c r="K48" s="10" t="inlineStr">
        <is>
          <t>Adapted</t>
        </is>
      </c>
      <c r="L48" s="10" t="inlineStr">
        <is>
          <t>SHAFT and TCPA, explained plainly</t>
        </is>
      </c>
      <c r="M48" s="10" t="inlineStr">
        <is>
          <t>Book a demo</t>
        </is>
      </c>
      <c r="N48" s="10" t="inlineStr">
        <is>
          <t>Yes</t>
        </is>
      </c>
      <c r="O48" s="10" t="inlineStr">
        <is>
          <t>No</t>
        </is>
      </c>
      <c r="P48" s="10" t="inlineStr">
        <is>
          <t>Not started</t>
        </is>
      </c>
      <c r="Q48" s="10" t="inlineStr">
        <is>
          <t>Not started</t>
        </is>
      </c>
      <c r="R48" s="10" t="inlineStr"/>
      <c r="S48" s="10" t="inlineStr"/>
      <c r="T48" s="10" t="inlineStr"/>
      <c r="U48" s="10" t="n"/>
      <c r="V48" s="10">
        <f>IF(U48="","",IF(U48&gt;=70,"Pass","Hold"))</f>
        <v/>
      </c>
      <c r="W48" s="11" t="n">
        <v>46245</v>
      </c>
      <c r="X48" s="10" t="inlineStr">
        <is>
          <t>10:00 AM</t>
        </is>
      </c>
      <c r="Y48" s="10" t="inlineStr">
        <is>
          <t>Scheduled</t>
        </is>
      </c>
      <c r="Z48" s="11" t="n"/>
      <c r="AA48" s="10" t="inlineStr"/>
      <c r="AB48" s="10" t="inlineStr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inlineStr">
        <is>
          <t>No</t>
        </is>
      </c>
      <c r="AN48" s="10" t="n"/>
      <c r="AO48" s="10" t="n"/>
      <c r="AP48" s="10">
        <f>IF(AND(AC48&lt;&gt;"",AO48&lt;&gt;"",AO48&gt;0),AC48/AO48,"")</f>
        <v/>
      </c>
      <c r="AQ48" s="10">
        <f>IF(AP48="","",IF(AP48&gt;=2,"A",IF(AP48&gt;=1.2,"B",IF(AP48&gt;=0.6,"C","D"))))</f>
        <v/>
      </c>
      <c r="AR48" s="10" t="inlineStr"/>
      <c r="AS48" s="11" t="inlineStr"/>
      <c r="AT48" s="10" t="inlineStr"/>
    </row>
    <row r="49">
      <c r="A49" s="10" t="inlineStr">
        <is>
          <t>W02-U3-TI</t>
        </is>
      </c>
      <c r="B49" s="10" t="inlineStr">
        <is>
          <t>W02-U3</t>
        </is>
      </c>
      <c r="C49" s="10" t="n">
        <v>2</v>
      </c>
      <c r="D49" s="11" t="n">
        <v>46246</v>
      </c>
      <c r="E49" s="10" t="inlineStr">
        <is>
          <t>Wednesday</t>
        </is>
      </c>
      <c r="F49" s="10" t="inlineStr">
        <is>
          <t>Ray</t>
        </is>
      </c>
      <c r="G49" s="10" t="inlineStr">
        <is>
          <t>Built for what needs an ID check.</t>
        </is>
      </c>
      <c r="H49" s="10" t="inlineStr">
        <is>
          <t>Inspire</t>
        </is>
      </c>
      <c r="I49" s="10" t="inlineStr">
        <is>
          <t>Video</t>
        </is>
      </c>
      <c r="J49" s="10" t="inlineStr">
        <is>
          <t>TikTok</t>
        </is>
      </c>
      <c r="K49" s="10" t="inlineStr">
        <is>
          <t>Primary</t>
        </is>
      </c>
      <c r="L49" s="10" t="inlineStr">
        <is>
          <t>The near-miss</t>
        </is>
      </c>
      <c r="M49" s="10" t="inlineStr">
        <is>
          <t>Book a demo</t>
        </is>
      </c>
      <c r="N49" s="10" t="inlineStr">
        <is>
          <t>Yes</t>
        </is>
      </c>
      <c r="O49" s="10" t="inlineStr">
        <is>
          <t>No</t>
        </is>
      </c>
      <c r="P49" s="10" t="inlineStr">
        <is>
          <t>Not started</t>
        </is>
      </c>
      <c r="Q49" s="10" t="inlineStr">
        <is>
          <t>Not started</t>
        </is>
      </c>
      <c r="R49" s="10" t="inlineStr"/>
      <c r="S49" s="10" t="inlineStr"/>
      <c r="T49" s="10" t="inlineStr"/>
      <c r="U49" s="10" t="n"/>
      <c r="V49" s="10">
        <f>IF(U49="","",IF(U49&gt;=70,"Pass","Hold"))</f>
        <v/>
      </c>
      <c r="W49" s="11" t="n">
        <v>46246</v>
      </c>
      <c r="X49" s="10" t="inlineStr">
        <is>
          <t>10:00 AM</t>
        </is>
      </c>
      <c r="Y49" s="10" t="inlineStr">
        <is>
          <t>Scheduled</t>
        </is>
      </c>
      <c r="Z49" s="11" t="n"/>
      <c r="AA49" s="10" t="inlineStr"/>
      <c r="AB49" s="10" t="inlineStr"/>
      <c r="AC49" s="10" t="n"/>
      <c r="AD49" s="10" t="n"/>
      <c r="AE49" s="10" t="n"/>
      <c r="AF49" s="10" t="n"/>
      <c r="AG49" s="10" t="n"/>
      <c r="AH49" s="10" t="n"/>
      <c r="AI49" s="10" t="n"/>
      <c r="AJ49" s="10" t="n"/>
      <c r="AK49" s="10" t="n"/>
      <c r="AL49" s="10" t="n"/>
      <c r="AM49" s="10" t="inlineStr">
        <is>
          <t>No</t>
        </is>
      </c>
      <c r="AN49" s="10" t="n"/>
      <c r="AO49" s="10" t="n"/>
      <c r="AP49" s="10">
        <f>IF(AND(AC49&lt;&gt;"",AO49&lt;&gt;"",AO49&gt;0),AC49/AO49,"")</f>
        <v/>
      </c>
      <c r="AQ49" s="10">
        <f>IF(AP49="","",IF(AP49&gt;=2,"A",IF(AP49&gt;=1.2,"B",IF(AP49&gt;=0.6,"C","D"))))</f>
        <v/>
      </c>
      <c r="AR49" s="10" t="inlineStr"/>
      <c r="AS49" s="11" t="inlineStr"/>
      <c r="AT49" s="10" t="inlineStr"/>
    </row>
    <row r="50">
      <c r="A50" s="10" t="inlineStr">
        <is>
          <t>W02-U3-IN</t>
        </is>
      </c>
      <c r="B50" s="10" t="inlineStr">
        <is>
          <t>W02-U3</t>
        </is>
      </c>
      <c r="C50" s="10" t="n">
        <v>2</v>
      </c>
      <c r="D50" s="11" t="n">
        <v>46246</v>
      </c>
      <c r="E50" s="10" t="inlineStr">
        <is>
          <t>Wednesday</t>
        </is>
      </c>
      <c r="F50" s="10" t="inlineStr">
        <is>
          <t>Ray</t>
        </is>
      </c>
      <c r="G50" s="10" t="inlineStr">
        <is>
          <t>Built for what needs an ID check.</t>
        </is>
      </c>
      <c r="H50" s="10" t="inlineStr">
        <is>
          <t>Inspire</t>
        </is>
      </c>
      <c r="I50" s="10" t="inlineStr">
        <is>
          <t>Video</t>
        </is>
      </c>
      <c r="J50" s="10" t="inlineStr">
        <is>
          <t>Instagram</t>
        </is>
      </c>
      <c r="K50" s="10" t="inlineStr">
        <is>
          <t>Mirror</t>
        </is>
      </c>
      <c r="L50" s="10" t="inlineStr">
        <is>
          <t>The near-miss</t>
        </is>
      </c>
      <c r="M50" s="10" t="inlineStr">
        <is>
          <t>Book a demo</t>
        </is>
      </c>
      <c r="N50" s="10" t="inlineStr">
        <is>
          <t>Yes</t>
        </is>
      </c>
      <c r="O50" s="10" t="inlineStr">
        <is>
          <t>No</t>
        </is>
      </c>
      <c r="P50" s="10" t="inlineStr">
        <is>
          <t>Not started</t>
        </is>
      </c>
      <c r="Q50" s="10" t="inlineStr">
        <is>
          <t>Not started</t>
        </is>
      </c>
      <c r="R50" s="10" t="inlineStr"/>
      <c r="S50" s="10" t="inlineStr"/>
      <c r="T50" s="10" t="inlineStr"/>
      <c r="U50" s="10" t="n"/>
      <c r="V50" s="10">
        <f>IF(U50="","",IF(U50&gt;=70,"Pass","Hold"))</f>
        <v/>
      </c>
      <c r="W50" s="11" t="n">
        <v>46246</v>
      </c>
      <c r="X50" s="10" t="inlineStr">
        <is>
          <t>10:00 AM</t>
        </is>
      </c>
      <c r="Y50" s="10" t="inlineStr">
        <is>
          <t>Scheduled</t>
        </is>
      </c>
      <c r="Z50" s="11" t="n"/>
      <c r="AA50" s="10" t="inlineStr"/>
      <c r="AB50" s="10" t="inlineStr"/>
      <c r="AC50" s="10" t="n"/>
      <c r="AD50" s="10" t="n"/>
      <c r="AE50" s="10" t="n"/>
      <c r="AF50" s="10" t="n"/>
      <c r="AG50" s="10" t="n"/>
      <c r="AH50" s="10" t="n"/>
      <c r="AI50" s="10" t="n"/>
      <c r="AJ50" s="10" t="n"/>
      <c r="AK50" s="10" t="n"/>
      <c r="AL50" s="10" t="n"/>
      <c r="AM50" s="10" t="inlineStr">
        <is>
          <t>No</t>
        </is>
      </c>
      <c r="AN50" s="10" t="n"/>
      <c r="AO50" s="10" t="n"/>
      <c r="AP50" s="10">
        <f>IF(AND(AC50&lt;&gt;"",AO50&lt;&gt;"",AO50&gt;0),AC50/AO50,"")</f>
        <v/>
      </c>
      <c r="AQ50" s="10">
        <f>IF(AP50="","",IF(AP50&gt;=2,"A",IF(AP50&gt;=1.2,"B",IF(AP50&gt;=0.6,"C","D"))))</f>
        <v/>
      </c>
      <c r="AR50" s="10" t="inlineStr"/>
      <c r="AS50" s="11" t="inlineStr"/>
      <c r="AT50" s="10" t="inlineStr"/>
    </row>
    <row r="51">
      <c r="A51" s="10" t="inlineStr">
        <is>
          <t>W02-U4-LI</t>
        </is>
      </c>
      <c r="B51" s="10" t="inlineStr">
        <is>
          <t>W02-U4</t>
        </is>
      </c>
      <c r="C51" s="10" t="n">
        <v>2</v>
      </c>
      <c r="D51" s="11" t="n">
        <v>46247</v>
      </c>
      <c r="E51" s="10" t="inlineStr">
        <is>
          <t>Thursday</t>
        </is>
      </c>
      <c r="F51" s="10" t="inlineStr">
        <is>
          <t>Ray</t>
        </is>
      </c>
      <c r="G51" s="10" t="inlineStr">
        <is>
          <t>Built for what needs an ID check.</t>
        </is>
      </c>
      <c r="H51" s="10" t="inlineStr">
        <is>
          <t>Educate</t>
        </is>
      </c>
      <c r="I51" s="10" t="inlineStr">
        <is>
          <t>Static</t>
        </is>
      </c>
      <c r="J51" s="10" t="inlineStr">
        <is>
          <t>LinkedIn</t>
        </is>
      </c>
      <c r="K51" s="10" t="inlineStr">
        <is>
          <t>Primary</t>
        </is>
      </c>
      <c r="L51" s="10" t="inlineStr">
        <is>
          <t>Every check, logged automatically</t>
        </is>
      </c>
      <c r="M51" s="10" t="inlineStr">
        <is>
          <t>Book a demo</t>
        </is>
      </c>
      <c r="N51" s="10" t="inlineStr">
        <is>
          <t>No</t>
        </is>
      </c>
      <c r="O51" s="10" t="inlineStr">
        <is>
          <t>No</t>
        </is>
      </c>
      <c r="P51" s="10" t="inlineStr">
        <is>
          <t>Not started</t>
        </is>
      </c>
      <c r="Q51" s="10" t="inlineStr">
        <is>
          <t>Not started</t>
        </is>
      </c>
      <c r="R51" s="10" t="inlineStr"/>
      <c r="S51" s="10" t="inlineStr"/>
      <c r="T51" s="10" t="inlineStr"/>
      <c r="U51" s="10" t="n"/>
      <c r="V51" s="10">
        <f>IF(U51="","",IF(U51&gt;=70,"Pass","Hold"))</f>
        <v/>
      </c>
      <c r="W51" s="11" t="n">
        <v>46247</v>
      </c>
      <c r="X51" s="10" t="inlineStr">
        <is>
          <t>10:00 AM</t>
        </is>
      </c>
      <c r="Y51" s="10" t="inlineStr">
        <is>
          <t>Scheduled</t>
        </is>
      </c>
      <c r="Z51" s="11" t="n"/>
      <c r="AA51" s="10" t="inlineStr"/>
      <c r="AB51" s="10" t="inlineStr"/>
      <c r="AC51" s="10" t="n"/>
      <c r="AD51" s="10" t="n"/>
      <c r="AE51" s="10" t="n"/>
      <c r="AF51" s="10" t="n"/>
      <c r="AG51" s="10" t="n"/>
      <c r="AH51" s="10" t="n"/>
      <c r="AI51" s="10" t="n"/>
      <c r="AJ51" s="10" t="n"/>
      <c r="AK51" s="10" t="n"/>
      <c r="AL51" s="10" t="n"/>
      <c r="AM51" s="10" t="inlineStr">
        <is>
          <t>No</t>
        </is>
      </c>
      <c r="AN51" s="10" t="n"/>
      <c r="AO51" s="10" t="n"/>
      <c r="AP51" s="10">
        <f>IF(AND(AC51&lt;&gt;"",AO51&lt;&gt;"",AO51&gt;0),AC51/AO51,"")</f>
        <v/>
      </c>
      <c r="AQ51" s="10">
        <f>IF(AP51="","",IF(AP51&gt;=2,"A",IF(AP51&gt;=1.2,"B",IF(AP51&gt;=0.6,"C","D"))))</f>
        <v/>
      </c>
      <c r="AR51" s="10" t="inlineStr"/>
      <c r="AS51" s="11" t="inlineStr"/>
      <c r="AT51" s="10" t="inlineStr"/>
    </row>
    <row r="52">
      <c r="A52" s="10" t="inlineStr">
        <is>
          <t>W02-U4-FA</t>
        </is>
      </c>
      <c r="B52" s="10" t="inlineStr">
        <is>
          <t>W02-U4</t>
        </is>
      </c>
      <c r="C52" s="10" t="n">
        <v>2</v>
      </c>
      <c r="D52" s="11" t="n">
        <v>46247</v>
      </c>
      <c r="E52" s="10" t="inlineStr">
        <is>
          <t>Thursday</t>
        </is>
      </c>
      <c r="F52" s="10" t="inlineStr">
        <is>
          <t>Ray</t>
        </is>
      </c>
      <c r="G52" s="10" t="inlineStr">
        <is>
          <t>Built for what needs an ID check.</t>
        </is>
      </c>
      <c r="H52" s="10" t="inlineStr">
        <is>
          <t>Educate</t>
        </is>
      </c>
      <c r="I52" s="10" t="inlineStr">
        <is>
          <t>Static</t>
        </is>
      </c>
      <c r="J52" s="10" t="inlineStr">
        <is>
          <t>Facebook</t>
        </is>
      </c>
      <c r="K52" s="10" t="inlineStr">
        <is>
          <t>Mirror</t>
        </is>
      </c>
      <c r="L52" s="10" t="inlineStr">
        <is>
          <t>Every check, logged automatically</t>
        </is>
      </c>
      <c r="M52" s="10" t="inlineStr">
        <is>
          <t>Book a demo</t>
        </is>
      </c>
      <c r="N52" s="10" t="inlineStr">
        <is>
          <t>No</t>
        </is>
      </c>
      <c r="O52" s="10" t="inlineStr">
        <is>
          <t>No</t>
        </is>
      </c>
      <c r="P52" s="10" t="inlineStr">
        <is>
          <t>Not started</t>
        </is>
      </c>
      <c r="Q52" s="10" t="inlineStr">
        <is>
          <t>Not started</t>
        </is>
      </c>
      <c r="R52" s="10" t="inlineStr"/>
      <c r="S52" s="10" t="inlineStr"/>
      <c r="T52" s="10" t="inlineStr"/>
      <c r="U52" s="10" t="n"/>
      <c r="V52" s="10">
        <f>IF(U52="","",IF(U52&gt;=70,"Pass","Hold"))</f>
        <v/>
      </c>
      <c r="W52" s="11" t="n">
        <v>46247</v>
      </c>
      <c r="X52" s="10" t="inlineStr">
        <is>
          <t>10:00 AM</t>
        </is>
      </c>
      <c r="Y52" s="10" t="inlineStr">
        <is>
          <t>Scheduled</t>
        </is>
      </c>
      <c r="Z52" s="11" t="n"/>
      <c r="AA52" s="10" t="inlineStr"/>
      <c r="AB52" s="10" t="inlineStr"/>
      <c r="AC52" s="10" t="n"/>
      <c r="AD52" s="10" t="n"/>
      <c r="AE52" s="10" t="n"/>
      <c r="AF52" s="10" t="n"/>
      <c r="AG52" s="10" t="n"/>
      <c r="AH52" s="10" t="n"/>
      <c r="AI52" s="10" t="n"/>
      <c r="AJ52" s="10" t="n"/>
      <c r="AK52" s="10" t="n"/>
      <c r="AL52" s="10" t="n"/>
      <c r="AM52" s="10" t="inlineStr">
        <is>
          <t>No</t>
        </is>
      </c>
      <c r="AN52" s="10" t="n"/>
      <c r="AO52" s="10" t="n"/>
      <c r="AP52" s="10">
        <f>IF(AND(AC52&lt;&gt;"",AO52&lt;&gt;"",AO52&gt;0),AC52/AO52,"")</f>
        <v/>
      </c>
      <c r="AQ52" s="10">
        <f>IF(AP52="","",IF(AP52&gt;=2,"A",IF(AP52&gt;=1.2,"B",IF(AP52&gt;=0.6,"C","D"))))</f>
        <v/>
      </c>
      <c r="AR52" s="10" t="inlineStr"/>
      <c r="AS52" s="11" t="inlineStr"/>
      <c r="AT52" s="10" t="inlineStr"/>
    </row>
    <row r="53">
      <c r="A53" s="10" t="inlineStr">
        <is>
          <t>W02-U4-IN</t>
        </is>
      </c>
      <c r="B53" s="10" t="inlineStr">
        <is>
          <t>W02-U4</t>
        </is>
      </c>
      <c r="C53" s="10" t="n">
        <v>2</v>
      </c>
      <c r="D53" s="11" t="n">
        <v>46247</v>
      </c>
      <c r="E53" s="10" t="inlineStr">
        <is>
          <t>Thursday</t>
        </is>
      </c>
      <c r="F53" s="10" t="inlineStr">
        <is>
          <t>Ray</t>
        </is>
      </c>
      <c r="G53" s="10" t="inlineStr">
        <is>
          <t>Built for what needs an ID check.</t>
        </is>
      </c>
      <c r="H53" s="10" t="inlineStr">
        <is>
          <t>Educate</t>
        </is>
      </c>
      <c r="I53" s="10" t="inlineStr">
        <is>
          <t>Static</t>
        </is>
      </c>
      <c r="J53" s="10" t="inlineStr">
        <is>
          <t>Instagram</t>
        </is>
      </c>
      <c r="K53" s="10" t="inlineStr">
        <is>
          <t>Adapted</t>
        </is>
      </c>
      <c r="L53" s="10" t="inlineStr">
        <is>
          <t>Every check, logged automatically</t>
        </is>
      </c>
      <c r="M53" s="10" t="inlineStr">
        <is>
          <t>Book a demo</t>
        </is>
      </c>
      <c r="N53" s="10" t="inlineStr">
        <is>
          <t>No</t>
        </is>
      </c>
      <c r="O53" s="10" t="inlineStr">
        <is>
          <t>No</t>
        </is>
      </c>
      <c r="P53" s="10" t="inlineStr">
        <is>
          <t>Not started</t>
        </is>
      </c>
      <c r="Q53" s="10" t="inlineStr">
        <is>
          <t>Not started</t>
        </is>
      </c>
      <c r="R53" s="10" t="inlineStr"/>
      <c r="S53" s="10" t="inlineStr"/>
      <c r="T53" s="10" t="inlineStr"/>
      <c r="U53" s="10" t="n"/>
      <c r="V53" s="10">
        <f>IF(U53="","",IF(U53&gt;=70,"Pass","Hold"))</f>
        <v/>
      </c>
      <c r="W53" s="11" t="n">
        <v>46247</v>
      </c>
      <c r="X53" s="10" t="inlineStr">
        <is>
          <t>10:00 AM</t>
        </is>
      </c>
      <c r="Y53" s="10" t="inlineStr">
        <is>
          <t>Scheduled</t>
        </is>
      </c>
      <c r="Z53" s="11" t="n"/>
      <c r="AA53" s="10" t="inlineStr"/>
      <c r="AB53" s="10" t="inlineStr"/>
      <c r="AC53" s="10" t="n"/>
      <c r="AD53" s="10" t="n"/>
      <c r="AE53" s="10" t="n"/>
      <c r="AF53" s="10" t="n"/>
      <c r="AG53" s="10" t="n"/>
      <c r="AH53" s="10" t="n"/>
      <c r="AI53" s="10" t="n"/>
      <c r="AJ53" s="10" t="n"/>
      <c r="AK53" s="10" t="n"/>
      <c r="AL53" s="10" t="n"/>
      <c r="AM53" s="10" t="inlineStr">
        <is>
          <t>No</t>
        </is>
      </c>
      <c r="AN53" s="10" t="n"/>
      <c r="AO53" s="10" t="n"/>
      <c r="AP53" s="10">
        <f>IF(AND(AC53&lt;&gt;"",AO53&lt;&gt;"",AO53&gt;0),AC53/AO53,"")</f>
        <v/>
      </c>
      <c r="AQ53" s="10">
        <f>IF(AP53="","",IF(AP53&gt;=2,"A",IF(AP53&gt;=1.2,"B",IF(AP53&gt;=0.6,"C","D"))))</f>
        <v/>
      </c>
      <c r="AR53" s="10" t="inlineStr"/>
      <c r="AS53" s="11" t="inlineStr"/>
      <c r="AT53" s="10" t="inlineStr"/>
    </row>
    <row r="54">
      <c r="A54" s="10" t="inlineStr">
        <is>
          <t>W02-U5-IN</t>
        </is>
      </c>
      <c r="B54" s="10" t="inlineStr">
        <is>
          <t>W02-U5</t>
        </is>
      </c>
      <c r="C54" s="10" t="n">
        <v>2</v>
      </c>
      <c r="D54" s="11" t="n">
        <v>46248</v>
      </c>
      <c r="E54" s="10" t="inlineStr">
        <is>
          <t>Friday</t>
        </is>
      </c>
      <c r="F54" s="10" t="inlineStr">
        <is>
          <t>Ray</t>
        </is>
      </c>
      <c r="G54" s="10" t="inlineStr">
        <is>
          <t>Built for what needs an ID check.</t>
        </is>
      </c>
      <c r="H54" s="10" t="inlineStr">
        <is>
          <t>Engage</t>
        </is>
      </c>
      <c r="I54" s="10" t="inlineStr">
        <is>
          <t>Text</t>
        </is>
      </c>
      <c r="J54" s="10" t="inlineStr">
        <is>
          <t>Instagram</t>
        </is>
      </c>
      <c r="K54" s="10" t="inlineStr">
        <is>
          <t>Primary</t>
        </is>
      </c>
      <c r="L54" s="10" t="inlineStr">
        <is>
          <t>Hard-block or soft-block?</t>
        </is>
      </c>
      <c r="M54" s="10" t="inlineStr">
        <is>
          <t>Engage (vote)</t>
        </is>
      </c>
      <c r="N54" s="10" t="inlineStr">
        <is>
          <t>No</t>
        </is>
      </c>
      <c r="O54" s="10" t="inlineStr">
        <is>
          <t>No</t>
        </is>
      </c>
      <c r="P54" s="10" t="inlineStr">
        <is>
          <t>Not started</t>
        </is>
      </c>
      <c r="Q54" s="10" t="inlineStr">
        <is>
          <t>Not started</t>
        </is>
      </c>
      <c r="R54" s="10" t="inlineStr"/>
      <c r="S54" s="10" t="inlineStr"/>
      <c r="T54" s="10" t="inlineStr"/>
      <c r="U54" s="10" t="n"/>
      <c r="V54" s="10">
        <f>IF(U54="","",IF(U54&gt;=70,"Pass","Hold"))</f>
        <v/>
      </c>
      <c r="W54" s="11" t="n">
        <v>46248</v>
      </c>
      <c r="X54" s="10" t="inlineStr">
        <is>
          <t>10:00 AM</t>
        </is>
      </c>
      <c r="Y54" s="10" t="inlineStr">
        <is>
          <t>Scheduled</t>
        </is>
      </c>
      <c r="Z54" s="11" t="n"/>
      <c r="AA54" s="10" t="inlineStr"/>
      <c r="AB54" s="10" t="inlineStr"/>
      <c r="AC54" s="10" t="n"/>
      <c r="AD54" s="10" t="n"/>
      <c r="AE54" s="10" t="n"/>
      <c r="AF54" s="10" t="n"/>
      <c r="AG54" s="10" t="n"/>
      <c r="AH54" s="10" t="n"/>
      <c r="AI54" s="10" t="n"/>
      <c r="AJ54" s="10" t="n"/>
      <c r="AK54" s="10" t="n"/>
      <c r="AL54" s="10" t="n"/>
      <c r="AM54" s="10" t="inlineStr">
        <is>
          <t>No</t>
        </is>
      </c>
      <c r="AN54" s="10" t="n"/>
      <c r="AO54" s="10" t="n"/>
      <c r="AP54" s="10">
        <f>IF(AND(AC54&lt;&gt;"",AO54&lt;&gt;"",AO54&gt;0),AC54/AO54,"")</f>
        <v/>
      </c>
      <c r="AQ54" s="10">
        <f>IF(AP54="","",IF(AP54&gt;=2,"A",IF(AP54&gt;=1.2,"B",IF(AP54&gt;=0.6,"C","D"))))</f>
        <v/>
      </c>
      <c r="AR54" s="10" t="inlineStr"/>
      <c r="AS54" s="11" t="inlineStr"/>
      <c r="AT54" s="10" t="inlineStr"/>
    </row>
    <row r="55">
      <c r="A55" s="10" t="inlineStr">
        <is>
          <t>W02-U5-LI</t>
        </is>
      </c>
      <c r="B55" s="10" t="inlineStr">
        <is>
          <t>W02-U5</t>
        </is>
      </c>
      <c r="C55" s="10" t="n">
        <v>2</v>
      </c>
      <c r="D55" s="11" t="n">
        <v>46248</v>
      </c>
      <c r="E55" s="10" t="inlineStr">
        <is>
          <t>Friday</t>
        </is>
      </c>
      <c r="F55" s="10" t="inlineStr">
        <is>
          <t>Ray</t>
        </is>
      </c>
      <c r="G55" s="10" t="inlineStr">
        <is>
          <t>Built for what needs an ID check.</t>
        </is>
      </c>
      <c r="H55" s="10" t="inlineStr">
        <is>
          <t>Engage</t>
        </is>
      </c>
      <c r="I55" s="10" t="inlineStr">
        <is>
          <t>Text</t>
        </is>
      </c>
      <c r="J55" s="10" t="inlineStr">
        <is>
          <t>LinkedIn</t>
        </is>
      </c>
      <c r="K55" s="10" t="inlineStr">
        <is>
          <t>Adapted</t>
        </is>
      </c>
      <c r="L55" s="10" t="inlineStr">
        <is>
          <t>Hard-block or soft-block?</t>
        </is>
      </c>
      <c r="M55" s="10" t="inlineStr">
        <is>
          <t>Engage (vote)</t>
        </is>
      </c>
      <c r="N55" s="10" t="inlineStr">
        <is>
          <t>No</t>
        </is>
      </c>
      <c r="O55" s="10" t="inlineStr">
        <is>
          <t>No</t>
        </is>
      </c>
      <c r="P55" s="10" t="inlineStr">
        <is>
          <t>Not started</t>
        </is>
      </c>
      <c r="Q55" s="10" t="inlineStr">
        <is>
          <t>Not started</t>
        </is>
      </c>
      <c r="R55" s="10" t="inlineStr"/>
      <c r="S55" s="10" t="inlineStr"/>
      <c r="T55" s="10" t="inlineStr"/>
      <c r="U55" s="10" t="n"/>
      <c r="V55" s="10">
        <f>IF(U55="","",IF(U55&gt;=70,"Pass","Hold"))</f>
        <v/>
      </c>
      <c r="W55" s="11" t="n">
        <v>46248</v>
      </c>
      <c r="X55" s="10" t="inlineStr">
        <is>
          <t>10:00 AM</t>
        </is>
      </c>
      <c r="Y55" s="10" t="inlineStr">
        <is>
          <t>Scheduled</t>
        </is>
      </c>
      <c r="Z55" s="11" t="n"/>
      <c r="AA55" s="10" t="inlineStr"/>
      <c r="AB55" s="10" t="inlineStr"/>
      <c r="AC55" s="10" t="n"/>
      <c r="AD55" s="10" t="n"/>
      <c r="AE55" s="10" t="n"/>
      <c r="AF55" s="10" t="n"/>
      <c r="AG55" s="10" t="n"/>
      <c r="AH55" s="10" t="n"/>
      <c r="AI55" s="10" t="n"/>
      <c r="AJ55" s="10" t="n"/>
      <c r="AK55" s="10" t="n"/>
      <c r="AL55" s="10" t="n"/>
      <c r="AM55" s="10" t="inlineStr">
        <is>
          <t>No</t>
        </is>
      </c>
      <c r="AN55" s="10" t="n"/>
      <c r="AO55" s="10" t="n"/>
      <c r="AP55" s="10">
        <f>IF(AND(AC55&lt;&gt;"",AO55&lt;&gt;"",AO55&gt;0),AC55/AO55,"")</f>
        <v/>
      </c>
      <c r="AQ55" s="10">
        <f>IF(AP55="","",IF(AP55&gt;=2,"A",IF(AP55&gt;=1.2,"B",IF(AP55&gt;=0.6,"C","D"))))</f>
        <v/>
      </c>
      <c r="AR55" s="10" t="inlineStr"/>
      <c r="AS55" s="11" t="inlineStr"/>
      <c r="AT55" s="10" t="inlineStr"/>
    </row>
    <row r="56">
      <c r="A56" s="10" t="inlineStr">
        <is>
          <t>W02-U6-IN</t>
        </is>
      </c>
      <c r="B56" s="10" t="inlineStr">
        <is>
          <t>W02-U6</t>
        </is>
      </c>
      <c r="C56" s="10" t="n">
        <v>2</v>
      </c>
      <c r="D56" s="11" t="n">
        <v>46249</v>
      </c>
      <c r="E56" s="10" t="inlineStr">
        <is>
          <t>Saturday</t>
        </is>
      </c>
      <c r="F56" s="10" t="inlineStr">
        <is>
          <t>Ray</t>
        </is>
      </c>
      <c r="G56" s="10" t="inlineStr">
        <is>
          <t>Built for what needs an ID check.</t>
        </is>
      </c>
      <c r="H56" s="10" t="inlineStr">
        <is>
          <t>Inspire</t>
        </is>
      </c>
      <c r="I56" s="10" t="inlineStr">
        <is>
          <t>Static</t>
        </is>
      </c>
      <c r="J56" s="10" t="inlineStr">
        <is>
          <t>Instagram</t>
        </is>
      </c>
      <c r="K56" s="10" t="inlineStr">
        <is>
          <t>Primary</t>
        </is>
      </c>
      <c r="L56" s="10" t="inlineStr">
        <is>
          <t>Built for the most regulated category in retail</t>
        </is>
      </c>
      <c r="M56" s="10" t="inlineStr">
        <is>
          <t>Book a demo</t>
        </is>
      </c>
      <c r="N56" s="10" t="inlineStr">
        <is>
          <t>No</t>
        </is>
      </c>
      <c r="O56" s="10" t="inlineStr">
        <is>
          <t>No</t>
        </is>
      </c>
      <c r="P56" s="10" t="inlineStr">
        <is>
          <t>Not started</t>
        </is>
      </c>
      <c r="Q56" s="10" t="inlineStr">
        <is>
          <t>Not started</t>
        </is>
      </c>
      <c r="R56" s="10" t="inlineStr"/>
      <c r="S56" s="10" t="inlineStr"/>
      <c r="T56" s="10" t="inlineStr"/>
      <c r="U56" s="10" t="n"/>
      <c r="V56" s="10">
        <f>IF(U56="","",IF(U56&gt;=70,"Pass","Hold"))</f>
        <v/>
      </c>
      <c r="W56" s="11" t="n">
        <v>46249</v>
      </c>
      <c r="X56" s="10" t="inlineStr">
        <is>
          <t>10:00 AM</t>
        </is>
      </c>
      <c r="Y56" s="10" t="inlineStr">
        <is>
          <t>Scheduled</t>
        </is>
      </c>
      <c r="Z56" s="11" t="n"/>
      <c r="AA56" s="10" t="inlineStr"/>
      <c r="AB56" s="10" t="inlineStr"/>
      <c r="AC56" s="10" t="n"/>
      <c r="AD56" s="10" t="n"/>
      <c r="AE56" s="10" t="n"/>
      <c r="AF56" s="10" t="n"/>
      <c r="AG56" s="10" t="n"/>
      <c r="AH56" s="10" t="n"/>
      <c r="AI56" s="10" t="n"/>
      <c r="AJ56" s="10" t="n"/>
      <c r="AK56" s="10" t="n"/>
      <c r="AL56" s="10" t="n"/>
      <c r="AM56" s="10" t="inlineStr">
        <is>
          <t>No</t>
        </is>
      </c>
      <c r="AN56" s="10" t="n"/>
      <c r="AO56" s="10" t="n"/>
      <c r="AP56" s="10">
        <f>IF(AND(AC56&lt;&gt;"",AO56&lt;&gt;"",AO56&gt;0),AC56/AO56,"")</f>
        <v/>
      </c>
      <c r="AQ56" s="10">
        <f>IF(AP56="","",IF(AP56&gt;=2,"A",IF(AP56&gt;=1.2,"B",IF(AP56&gt;=0.6,"C","D"))))</f>
        <v/>
      </c>
      <c r="AR56" s="10" t="inlineStr"/>
      <c r="AS56" s="11" t="inlineStr"/>
      <c r="AT56" s="10" t="inlineStr"/>
    </row>
    <row r="57">
      <c r="A57" s="10" t="inlineStr">
        <is>
          <t>W02-U6-FA</t>
        </is>
      </c>
      <c r="B57" s="10" t="inlineStr">
        <is>
          <t>W02-U6</t>
        </is>
      </c>
      <c r="C57" s="10" t="n">
        <v>2</v>
      </c>
      <c r="D57" s="11" t="n">
        <v>46249</v>
      </c>
      <c r="E57" s="10" t="inlineStr">
        <is>
          <t>Saturday</t>
        </is>
      </c>
      <c r="F57" s="10" t="inlineStr">
        <is>
          <t>Ray</t>
        </is>
      </c>
      <c r="G57" s="10" t="inlineStr">
        <is>
          <t>Built for what needs an ID check.</t>
        </is>
      </c>
      <c r="H57" s="10" t="inlineStr">
        <is>
          <t>Inspire</t>
        </is>
      </c>
      <c r="I57" s="10" t="inlineStr">
        <is>
          <t>Static</t>
        </is>
      </c>
      <c r="J57" s="10" t="inlineStr">
        <is>
          <t>Facebook</t>
        </is>
      </c>
      <c r="K57" s="10" t="inlineStr">
        <is>
          <t>Mirror</t>
        </is>
      </c>
      <c r="L57" s="10" t="inlineStr">
        <is>
          <t>Built for the most regulated category in retail</t>
        </is>
      </c>
      <c r="M57" s="10" t="inlineStr">
        <is>
          <t>Book a demo</t>
        </is>
      </c>
      <c r="N57" s="10" t="inlineStr">
        <is>
          <t>No</t>
        </is>
      </c>
      <c r="O57" s="10" t="inlineStr">
        <is>
          <t>No</t>
        </is>
      </c>
      <c r="P57" s="10" t="inlineStr">
        <is>
          <t>Not started</t>
        </is>
      </c>
      <c r="Q57" s="10" t="inlineStr">
        <is>
          <t>Not started</t>
        </is>
      </c>
      <c r="R57" s="10" t="inlineStr"/>
      <c r="S57" s="10" t="inlineStr"/>
      <c r="T57" s="10" t="inlineStr"/>
      <c r="U57" s="10" t="n"/>
      <c r="V57" s="10">
        <f>IF(U57="","",IF(U57&gt;=70,"Pass","Hold"))</f>
        <v/>
      </c>
      <c r="W57" s="11" t="n">
        <v>46249</v>
      </c>
      <c r="X57" s="10" t="inlineStr">
        <is>
          <t>10:00 AM</t>
        </is>
      </c>
      <c r="Y57" s="10" t="inlineStr">
        <is>
          <t>Scheduled</t>
        </is>
      </c>
      <c r="Z57" s="11" t="n"/>
      <c r="AA57" s="10" t="inlineStr"/>
      <c r="AB57" s="10" t="inlineStr"/>
      <c r="AC57" s="10" t="n"/>
      <c r="AD57" s="10" t="n"/>
      <c r="AE57" s="10" t="n"/>
      <c r="AF57" s="10" t="n"/>
      <c r="AG57" s="10" t="n"/>
      <c r="AH57" s="10" t="n"/>
      <c r="AI57" s="10" t="n"/>
      <c r="AJ57" s="10" t="n"/>
      <c r="AK57" s="10" t="n"/>
      <c r="AL57" s="10" t="n"/>
      <c r="AM57" s="10" t="inlineStr">
        <is>
          <t>No</t>
        </is>
      </c>
      <c r="AN57" s="10" t="n"/>
      <c r="AO57" s="10" t="n"/>
      <c r="AP57" s="10">
        <f>IF(AND(AC57&lt;&gt;"",AO57&lt;&gt;"",AO57&gt;0),AC57/AO57,"")</f>
        <v/>
      </c>
      <c r="AQ57" s="10">
        <f>IF(AP57="","",IF(AP57&gt;=2,"A",IF(AP57&gt;=1.2,"B",IF(AP57&gt;=0.6,"C","D"))))</f>
        <v/>
      </c>
      <c r="AR57" s="10" t="inlineStr"/>
      <c r="AS57" s="11" t="inlineStr"/>
      <c r="AT57" s="10" t="inlineStr"/>
    </row>
    <row r="58">
      <c r="A58" s="10" t="inlineStr">
        <is>
          <t>W02-U6-X</t>
        </is>
      </c>
      <c r="B58" s="10" t="inlineStr">
        <is>
          <t>W02-U6</t>
        </is>
      </c>
      <c r="C58" s="10" t="n">
        <v>2</v>
      </c>
      <c r="D58" s="11" t="n">
        <v>46249</v>
      </c>
      <c r="E58" s="10" t="inlineStr">
        <is>
          <t>Saturday</t>
        </is>
      </c>
      <c r="F58" s="10" t="inlineStr">
        <is>
          <t>Ray</t>
        </is>
      </c>
      <c r="G58" s="10" t="inlineStr">
        <is>
          <t>Built for what needs an ID check.</t>
        </is>
      </c>
      <c r="H58" s="10" t="inlineStr">
        <is>
          <t>Inspire</t>
        </is>
      </c>
      <c r="I58" s="10" t="inlineStr">
        <is>
          <t>Static</t>
        </is>
      </c>
      <c r="J58" s="10" t="inlineStr">
        <is>
          <t>X</t>
        </is>
      </c>
      <c r="K58" s="10" t="inlineStr">
        <is>
          <t>Mirror</t>
        </is>
      </c>
      <c r="L58" s="10" t="inlineStr">
        <is>
          <t>Built for the most regulated category in retail</t>
        </is>
      </c>
      <c r="M58" s="10" t="inlineStr">
        <is>
          <t>Book a demo</t>
        </is>
      </c>
      <c r="N58" s="10" t="inlineStr">
        <is>
          <t>No</t>
        </is>
      </c>
      <c r="O58" s="10" t="inlineStr">
        <is>
          <t>No</t>
        </is>
      </c>
      <c r="P58" s="10" t="inlineStr">
        <is>
          <t>Not started</t>
        </is>
      </c>
      <c r="Q58" s="10" t="inlineStr">
        <is>
          <t>Not started</t>
        </is>
      </c>
      <c r="R58" s="10" t="inlineStr"/>
      <c r="S58" s="10" t="inlineStr"/>
      <c r="T58" s="10" t="inlineStr"/>
      <c r="U58" s="10" t="n"/>
      <c r="V58" s="10">
        <f>IF(U58="","",IF(U58&gt;=70,"Pass","Hold"))</f>
        <v/>
      </c>
      <c r="W58" s="11" t="n">
        <v>46249</v>
      </c>
      <c r="X58" s="10" t="inlineStr">
        <is>
          <t>10:00 AM</t>
        </is>
      </c>
      <c r="Y58" s="10" t="inlineStr">
        <is>
          <t>Scheduled</t>
        </is>
      </c>
      <c r="Z58" s="11" t="n"/>
      <c r="AA58" s="10" t="inlineStr"/>
      <c r="AB58" s="10" t="inlineStr"/>
      <c r="AC58" s="10" t="n"/>
      <c r="AD58" s="10" t="n"/>
      <c r="AE58" s="10" t="n"/>
      <c r="AF58" s="10" t="n"/>
      <c r="AG58" s="10" t="n"/>
      <c r="AH58" s="10" t="n"/>
      <c r="AI58" s="10" t="n"/>
      <c r="AJ58" s="10" t="n"/>
      <c r="AK58" s="10" t="n"/>
      <c r="AL58" s="10" t="n"/>
      <c r="AM58" s="10" t="inlineStr">
        <is>
          <t>No</t>
        </is>
      </c>
      <c r="AN58" s="10" t="n"/>
      <c r="AO58" s="10" t="n"/>
      <c r="AP58" s="10">
        <f>IF(AND(AC58&lt;&gt;"",AO58&lt;&gt;"",AO58&gt;0),AC58/AO58,"")</f>
        <v/>
      </c>
      <c r="AQ58" s="10">
        <f>IF(AP58="","",IF(AP58&gt;=2,"A",IF(AP58&gt;=1.2,"B",IF(AP58&gt;=0.6,"C","D"))))</f>
        <v/>
      </c>
      <c r="AR58" s="10" t="inlineStr"/>
      <c r="AS58" s="11" t="inlineStr"/>
      <c r="AT58" s="10" t="inlineStr"/>
    </row>
    <row r="59">
      <c r="A59" s="10" t="inlineStr">
        <is>
          <t>W03-U1-LI</t>
        </is>
      </c>
      <c r="B59" s="10" t="inlineStr">
        <is>
          <t>W03-U1</t>
        </is>
      </c>
      <c r="C59" s="10" t="n">
        <v>3</v>
      </c>
      <c r="D59" s="11" t="n">
        <v>46251</v>
      </c>
      <c r="E59" s="10" t="inlineStr">
        <is>
          <t>Monday</t>
        </is>
      </c>
      <c r="F59" s="10" t="inlineStr">
        <is>
          <t>Farah</t>
        </is>
      </c>
      <c r="G59" s="10" t="inlineStr">
        <is>
          <t>Every case, every bottle, every SKU — accounted for.</t>
        </is>
      </c>
      <c r="H59" s="10" t="inlineStr">
        <is>
          <t>Educate</t>
        </is>
      </c>
      <c r="I59" s="10" t="inlineStr">
        <is>
          <t>Text</t>
        </is>
      </c>
      <c r="J59" s="10" t="inlineStr">
        <is>
          <t>LinkedIn</t>
        </is>
      </c>
      <c r="K59" s="10" t="inlineStr">
        <is>
          <t>Primary</t>
        </is>
      </c>
      <c r="L59" s="10" t="inlineStr">
        <is>
          <t>Case-break inventory, explained for owners who hate spreadsheets</t>
        </is>
      </c>
      <c r="M59" s="10" t="inlineStr">
        <is>
          <t>Read more (link)</t>
        </is>
      </c>
      <c r="N59" s="10" t="inlineStr">
        <is>
          <t>No</t>
        </is>
      </c>
      <c r="O59" s="10" t="inlineStr">
        <is>
          <t>No</t>
        </is>
      </c>
      <c r="P59" s="10" t="inlineStr">
        <is>
          <t>Not started</t>
        </is>
      </c>
      <c r="Q59" s="10" t="inlineStr">
        <is>
          <t>Not started</t>
        </is>
      </c>
      <c r="R59" s="10" t="inlineStr"/>
      <c r="S59" s="10" t="inlineStr"/>
      <c r="T59" s="10" t="inlineStr"/>
      <c r="U59" s="10" t="n"/>
      <c r="V59" s="10">
        <f>IF(U59="","",IF(U59&gt;=70,"Pass","Hold"))</f>
        <v/>
      </c>
      <c r="W59" s="11" t="n">
        <v>46251</v>
      </c>
      <c r="X59" s="10" t="inlineStr">
        <is>
          <t>10:00 AM</t>
        </is>
      </c>
      <c r="Y59" s="10" t="inlineStr">
        <is>
          <t>Scheduled</t>
        </is>
      </c>
      <c r="Z59" s="11" t="n"/>
      <c r="AA59" s="10" t="inlineStr"/>
      <c r="AB59" s="10" t="inlineStr"/>
      <c r="AC59" s="10" t="n"/>
      <c r="AD59" s="10" t="n"/>
      <c r="AE59" s="10" t="n"/>
      <c r="AF59" s="10" t="n"/>
      <c r="AG59" s="10" t="n"/>
      <c r="AH59" s="10" t="n"/>
      <c r="AI59" s="10" t="n"/>
      <c r="AJ59" s="10" t="n"/>
      <c r="AK59" s="10" t="n"/>
      <c r="AL59" s="10" t="n"/>
      <c r="AM59" s="10" t="inlineStr">
        <is>
          <t>No</t>
        </is>
      </c>
      <c r="AN59" s="10" t="n"/>
      <c r="AO59" s="10" t="n"/>
      <c r="AP59" s="10">
        <f>IF(AND(AC59&lt;&gt;"",AO59&lt;&gt;"",AO59&gt;0),AC59/AO59,"")</f>
        <v/>
      </c>
      <c r="AQ59" s="10">
        <f>IF(AP59="","",IF(AP59&gt;=2,"A",IF(AP59&gt;=1.2,"B",IF(AP59&gt;=0.6,"C","D"))))</f>
        <v/>
      </c>
      <c r="AR59" s="10" t="inlineStr"/>
      <c r="AS59" s="11" t="inlineStr"/>
      <c r="AT59" s="10" t="inlineStr"/>
    </row>
    <row r="60">
      <c r="A60" s="10" t="inlineStr">
        <is>
          <t>W03-U1-FA</t>
        </is>
      </c>
      <c r="B60" s="10" t="inlineStr">
        <is>
          <t>W03-U1</t>
        </is>
      </c>
      <c r="C60" s="10" t="n">
        <v>3</v>
      </c>
      <c r="D60" s="11" t="n">
        <v>46251</v>
      </c>
      <c r="E60" s="10" t="inlineStr">
        <is>
          <t>Monday</t>
        </is>
      </c>
      <c r="F60" s="10" t="inlineStr">
        <is>
          <t>Farah</t>
        </is>
      </c>
      <c r="G60" s="10" t="inlineStr">
        <is>
          <t>Every case, every bottle, every SKU — accounted for.</t>
        </is>
      </c>
      <c r="H60" s="10" t="inlineStr">
        <is>
          <t>Educate</t>
        </is>
      </c>
      <c r="I60" s="10" t="inlineStr">
        <is>
          <t>Text</t>
        </is>
      </c>
      <c r="J60" s="10" t="inlineStr">
        <is>
          <t>Facebook</t>
        </is>
      </c>
      <c r="K60" s="10" t="inlineStr">
        <is>
          <t>Primary</t>
        </is>
      </c>
      <c r="L60" s="10" t="inlineStr">
        <is>
          <t>Case-break inventory, explained for owners who hate spreadsheets</t>
        </is>
      </c>
      <c r="M60" s="10" t="inlineStr">
        <is>
          <t>Read more (link)</t>
        </is>
      </c>
      <c r="N60" s="10" t="inlineStr">
        <is>
          <t>No</t>
        </is>
      </c>
      <c r="O60" s="10" t="inlineStr">
        <is>
          <t>No</t>
        </is>
      </c>
      <c r="P60" s="10" t="inlineStr">
        <is>
          <t>Not started</t>
        </is>
      </c>
      <c r="Q60" s="10" t="inlineStr">
        <is>
          <t>Not started</t>
        </is>
      </c>
      <c r="R60" s="10" t="inlineStr"/>
      <c r="S60" s="10" t="inlineStr"/>
      <c r="T60" s="10" t="inlineStr"/>
      <c r="U60" s="10" t="n"/>
      <c r="V60" s="10">
        <f>IF(U60="","",IF(U60&gt;=70,"Pass","Hold"))</f>
        <v/>
      </c>
      <c r="W60" s="11" t="n">
        <v>46251</v>
      </c>
      <c r="X60" s="10" t="inlineStr">
        <is>
          <t>10:00 AM</t>
        </is>
      </c>
      <c r="Y60" s="10" t="inlineStr">
        <is>
          <t>Scheduled</t>
        </is>
      </c>
      <c r="Z60" s="11" t="n"/>
      <c r="AA60" s="10" t="inlineStr"/>
      <c r="AB60" s="10" t="inlineStr"/>
      <c r="AC60" s="10" t="n"/>
      <c r="AD60" s="10" t="n"/>
      <c r="AE60" s="10" t="n"/>
      <c r="AF60" s="10" t="n"/>
      <c r="AG60" s="10" t="n"/>
      <c r="AH60" s="10" t="n"/>
      <c r="AI60" s="10" t="n"/>
      <c r="AJ60" s="10" t="n"/>
      <c r="AK60" s="10" t="n"/>
      <c r="AL60" s="10" t="n"/>
      <c r="AM60" s="10" t="inlineStr">
        <is>
          <t>No</t>
        </is>
      </c>
      <c r="AN60" s="10" t="n"/>
      <c r="AO60" s="10" t="n"/>
      <c r="AP60" s="10">
        <f>IF(AND(AC60&lt;&gt;"",AO60&lt;&gt;"",AO60&gt;0),AC60/AO60,"")</f>
        <v/>
      </c>
      <c r="AQ60" s="10">
        <f>IF(AP60="","",IF(AP60&gt;=2,"A",IF(AP60&gt;=1.2,"B",IF(AP60&gt;=0.6,"C","D"))))</f>
        <v/>
      </c>
      <c r="AR60" s="10" t="inlineStr"/>
      <c r="AS60" s="11" t="inlineStr"/>
      <c r="AT60" s="10" t="inlineStr"/>
    </row>
    <row r="61">
      <c r="A61" s="10" t="inlineStr">
        <is>
          <t>W03-U1-BL</t>
        </is>
      </c>
      <c r="B61" s="10" t="inlineStr">
        <is>
          <t>W03-U1</t>
        </is>
      </c>
      <c r="C61" s="10" t="n">
        <v>3</v>
      </c>
      <c r="D61" s="11" t="n">
        <v>46251</v>
      </c>
      <c r="E61" s="10" t="inlineStr">
        <is>
          <t>Monday</t>
        </is>
      </c>
      <c r="F61" s="10" t="inlineStr">
        <is>
          <t>Farah</t>
        </is>
      </c>
      <c r="G61" s="10" t="inlineStr">
        <is>
          <t>Every case, every bottle, every SKU — accounted for.</t>
        </is>
      </c>
      <c r="H61" s="10" t="inlineStr">
        <is>
          <t>Educate</t>
        </is>
      </c>
      <c r="I61" s="10" t="inlineStr">
        <is>
          <t>Text</t>
        </is>
      </c>
      <c r="J61" s="10" t="inlineStr">
        <is>
          <t>Blog/SEO</t>
        </is>
      </c>
      <c r="K61" s="10" t="inlineStr">
        <is>
          <t>Primary</t>
        </is>
      </c>
      <c r="L61" s="10" t="inlineStr">
        <is>
          <t>Case-break inventory, explained for owners who hate spreadsheets</t>
        </is>
      </c>
      <c r="M61" s="10" t="inlineStr">
        <is>
          <t>Read more (link)</t>
        </is>
      </c>
      <c r="N61" s="10" t="inlineStr">
        <is>
          <t>No</t>
        </is>
      </c>
      <c r="O61" s="10" t="inlineStr">
        <is>
          <t>No</t>
        </is>
      </c>
      <c r="P61" s="10" t="inlineStr">
        <is>
          <t>Not started</t>
        </is>
      </c>
      <c r="Q61" s="10" t="inlineStr">
        <is>
          <t>Not started</t>
        </is>
      </c>
      <c r="R61" s="10" t="inlineStr"/>
      <c r="S61" s="10" t="inlineStr"/>
      <c r="T61" s="10" t="inlineStr"/>
      <c r="U61" s="10" t="n"/>
      <c r="V61" s="10">
        <f>IF(U61="","",IF(U61&gt;=70,"Pass","Hold"))</f>
        <v/>
      </c>
      <c r="W61" s="11" t="n">
        <v>46251</v>
      </c>
      <c r="X61" s="10" t="inlineStr">
        <is>
          <t>10:00 AM</t>
        </is>
      </c>
      <c r="Y61" s="10" t="inlineStr">
        <is>
          <t>Scheduled</t>
        </is>
      </c>
      <c r="Z61" s="11" t="n"/>
      <c r="AA61" s="10" t="inlineStr"/>
      <c r="AB61" s="10" t="inlineStr"/>
      <c r="AC61" s="10" t="n"/>
      <c r="AD61" s="10" t="n"/>
      <c r="AE61" s="10" t="n"/>
      <c r="AF61" s="10" t="n"/>
      <c r="AG61" s="10" t="n"/>
      <c r="AH61" s="10" t="n"/>
      <c r="AI61" s="10" t="n"/>
      <c r="AJ61" s="10" t="n"/>
      <c r="AK61" s="10" t="n"/>
      <c r="AL61" s="10" t="n"/>
      <c r="AM61" s="10" t="inlineStr">
        <is>
          <t>No</t>
        </is>
      </c>
      <c r="AN61" s="10" t="n"/>
      <c r="AO61" s="10" t="n"/>
      <c r="AP61" s="10">
        <f>IF(AND(AC61&lt;&gt;"",AO61&lt;&gt;"",AO61&gt;0),AC61/AO61,"")</f>
        <v/>
      </c>
      <c r="AQ61" s="10">
        <f>IF(AP61="","",IF(AP61&gt;=2,"A",IF(AP61&gt;=1.2,"B",IF(AP61&gt;=0.6,"C","D"))))</f>
        <v/>
      </c>
      <c r="AR61" s="10" t="inlineStr"/>
      <c r="AS61" s="11" t="inlineStr"/>
      <c r="AT61" s="10" t="inlineStr"/>
    </row>
    <row r="62">
      <c r="A62" s="10" t="inlineStr">
        <is>
          <t>W03-U1-X</t>
        </is>
      </c>
      <c r="B62" s="10" t="inlineStr">
        <is>
          <t>W03-U1</t>
        </is>
      </c>
      <c r="C62" s="10" t="n">
        <v>3</v>
      </c>
      <c r="D62" s="11" t="n">
        <v>46251</v>
      </c>
      <c r="E62" s="10" t="inlineStr">
        <is>
          <t>Monday</t>
        </is>
      </c>
      <c r="F62" s="10" t="inlineStr">
        <is>
          <t>Farah</t>
        </is>
      </c>
      <c r="G62" s="10" t="inlineStr">
        <is>
          <t>Every case, every bottle, every SKU — accounted for.</t>
        </is>
      </c>
      <c r="H62" s="10" t="inlineStr">
        <is>
          <t>Educate</t>
        </is>
      </c>
      <c r="I62" s="10" t="inlineStr">
        <is>
          <t>Text</t>
        </is>
      </c>
      <c r="J62" s="10" t="inlineStr">
        <is>
          <t>X</t>
        </is>
      </c>
      <c r="K62" s="10" t="inlineStr">
        <is>
          <t>Mirror</t>
        </is>
      </c>
      <c r="L62" s="10" t="inlineStr">
        <is>
          <t>Case-break inventory, explained for owners who hate spreadsheets</t>
        </is>
      </c>
      <c r="M62" s="10" t="inlineStr">
        <is>
          <t>Read more (link)</t>
        </is>
      </c>
      <c r="N62" s="10" t="inlineStr">
        <is>
          <t>No</t>
        </is>
      </c>
      <c r="O62" s="10" t="inlineStr">
        <is>
          <t>No</t>
        </is>
      </c>
      <c r="P62" s="10" t="inlineStr">
        <is>
          <t>Not started</t>
        </is>
      </c>
      <c r="Q62" s="10" t="inlineStr">
        <is>
          <t>Not started</t>
        </is>
      </c>
      <c r="R62" s="10" t="inlineStr"/>
      <c r="S62" s="10" t="inlineStr"/>
      <c r="T62" s="10" t="inlineStr"/>
      <c r="U62" s="10" t="n"/>
      <c r="V62" s="10">
        <f>IF(U62="","",IF(U62&gt;=70,"Pass","Hold"))</f>
        <v/>
      </c>
      <c r="W62" s="11" t="n">
        <v>46251</v>
      </c>
      <c r="X62" s="10" t="inlineStr">
        <is>
          <t>10:00 AM</t>
        </is>
      </c>
      <c r="Y62" s="10" t="inlineStr">
        <is>
          <t>Scheduled</t>
        </is>
      </c>
      <c r="Z62" s="11" t="n"/>
      <c r="AA62" s="10" t="inlineStr"/>
      <c r="AB62" s="10" t="inlineStr"/>
      <c r="AC62" s="10" t="n"/>
      <c r="AD62" s="10" t="n"/>
      <c r="AE62" s="10" t="n"/>
      <c r="AF62" s="10" t="n"/>
      <c r="AG62" s="10" t="n"/>
      <c r="AH62" s="10" t="n"/>
      <c r="AI62" s="10" t="n"/>
      <c r="AJ62" s="10" t="n"/>
      <c r="AK62" s="10" t="n"/>
      <c r="AL62" s="10" t="n"/>
      <c r="AM62" s="10" t="inlineStr">
        <is>
          <t>No</t>
        </is>
      </c>
      <c r="AN62" s="10" t="n"/>
      <c r="AO62" s="10" t="n"/>
      <c r="AP62" s="10">
        <f>IF(AND(AC62&lt;&gt;"",AO62&lt;&gt;"",AO62&gt;0),AC62/AO62,"")</f>
        <v/>
      </c>
      <c r="AQ62" s="10">
        <f>IF(AP62="","",IF(AP62&gt;=2,"A",IF(AP62&gt;=1.2,"B",IF(AP62&gt;=0.6,"C","D"))))</f>
        <v/>
      </c>
      <c r="AR62" s="10" t="inlineStr"/>
      <c r="AS62" s="11" t="inlineStr"/>
      <c r="AT62" s="10" t="inlineStr"/>
    </row>
    <row r="63">
      <c r="A63" s="10" t="inlineStr">
        <is>
          <t>W03-U2-IN</t>
        </is>
      </c>
      <c r="B63" s="10" t="inlineStr">
        <is>
          <t>W03-U2</t>
        </is>
      </c>
      <c r="C63" s="10" t="n">
        <v>3</v>
      </c>
      <c r="D63" s="11" t="n">
        <v>46252</v>
      </c>
      <c r="E63" s="10" t="inlineStr">
        <is>
          <t>Tuesday</t>
        </is>
      </c>
      <c r="F63" s="10" t="inlineStr">
        <is>
          <t>Farah</t>
        </is>
      </c>
      <c r="G63" s="10" t="inlineStr">
        <is>
          <t>Every case, every bottle, every SKU — accounted for.</t>
        </is>
      </c>
      <c r="H63" s="10" t="inlineStr">
        <is>
          <t>Educate</t>
        </is>
      </c>
      <c r="I63" s="10" t="inlineStr">
        <is>
          <t>Carousel</t>
        </is>
      </c>
      <c r="J63" s="10" t="inlineStr">
        <is>
          <t>Instagram</t>
        </is>
      </c>
      <c r="K63" s="10" t="inlineStr">
        <is>
          <t>Primary</t>
        </is>
      </c>
      <c r="L63" s="10" t="inlineStr">
        <is>
          <t>Case-break and reorder alerts, the 3-Layer way</t>
        </is>
      </c>
      <c r="M63" s="10" t="inlineStr">
        <is>
          <t>Book a demo</t>
        </is>
      </c>
      <c r="N63" s="10" t="inlineStr">
        <is>
          <t>No</t>
        </is>
      </c>
      <c r="O63" s="10" t="inlineStr">
        <is>
          <t>No</t>
        </is>
      </c>
      <c r="P63" s="10" t="inlineStr">
        <is>
          <t>Not started</t>
        </is>
      </c>
      <c r="Q63" s="10" t="inlineStr">
        <is>
          <t>Not started</t>
        </is>
      </c>
      <c r="R63" s="10" t="inlineStr"/>
      <c r="S63" s="10" t="inlineStr"/>
      <c r="T63" s="10" t="inlineStr"/>
      <c r="U63" s="10" t="n"/>
      <c r="V63" s="10">
        <f>IF(U63="","",IF(U63&gt;=70,"Pass","Hold"))</f>
        <v/>
      </c>
      <c r="W63" s="11" t="n">
        <v>46252</v>
      </c>
      <c r="X63" s="10" t="inlineStr">
        <is>
          <t>10:00 AM</t>
        </is>
      </c>
      <c r="Y63" s="10" t="inlineStr">
        <is>
          <t>Scheduled</t>
        </is>
      </c>
      <c r="Z63" s="11" t="n"/>
      <c r="AA63" s="10" t="inlineStr"/>
      <c r="AB63" s="10" t="inlineStr"/>
      <c r="AC63" s="10" t="n"/>
      <c r="AD63" s="10" t="n"/>
      <c r="AE63" s="10" t="n"/>
      <c r="AF63" s="10" t="n"/>
      <c r="AG63" s="10" t="n"/>
      <c r="AH63" s="10" t="n"/>
      <c r="AI63" s="10" t="n"/>
      <c r="AJ63" s="10" t="n"/>
      <c r="AK63" s="10" t="n"/>
      <c r="AL63" s="10" t="n"/>
      <c r="AM63" s="10" t="inlineStr">
        <is>
          <t>No</t>
        </is>
      </c>
      <c r="AN63" s="10" t="n"/>
      <c r="AO63" s="10" t="n"/>
      <c r="AP63" s="10">
        <f>IF(AND(AC63&lt;&gt;"",AO63&lt;&gt;"",AO63&gt;0),AC63/AO63,"")</f>
        <v/>
      </c>
      <c r="AQ63" s="10">
        <f>IF(AP63="","",IF(AP63&gt;=2,"A",IF(AP63&gt;=1.2,"B",IF(AP63&gt;=0.6,"C","D"))))</f>
        <v/>
      </c>
      <c r="AR63" s="10" t="inlineStr"/>
      <c r="AS63" s="11" t="inlineStr"/>
      <c r="AT63" s="10" t="inlineStr"/>
    </row>
    <row r="64">
      <c r="A64" s="10" t="inlineStr">
        <is>
          <t>W03-U2-FA</t>
        </is>
      </c>
      <c r="B64" s="10" t="inlineStr">
        <is>
          <t>W03-U2</t>
        </is>
      </c>
      <c r="C64" s="10" t="n">
        <v>3</v>
      </c>
      <c r="D64" s="11" t="n">
        <v>46252</v>
      </c>
      <c r="E64" s="10" t="inlineStr">
        <is>
          <t>Tuesday</t>
        </is>
      </c>
      <c r="F64" s="10" t="inlineStr">
        <is>
          <t>Farah</t>
        </is>
      </c>
      <c r="G64" s="10" t="inlineStr">
        <is>
          <t>Every case, every bottle, every SKU — accounted for.</t>
        </is>
      </c>
      <c r="H64" s="10" t="inlineStr">
        <is>
          <t>Educate</t>
        </is>
      </c>
      <c r="I64" s="10" t="inlineStr">
        <is>
          <t>Carousel</t>
        </is>
      </c>
      <c r="J64" s="10" t="inlineStr">
        <is>
          <t>Facebook</t>
        </is>
      </c>
      <c r="K64" s="10" t="inlineStr">
        <is>
          <t>Mirror</t>
        </is>
      </c>
      <c r="L64" s="10" t="inlineStr">
        <is>
          <t>Case-break and reorder alerts, the 3-Layer way</t>
        </is>
      </c>
      <c r="M64" s="10" t="inlineStr">
        <is>
          <t>Book a demo</t>
        </is>
      </c>
      <c r="N64" s="10" t="inlineStr">
        <is>
          <t>No</t>
        </is>
      </c>
      <c r="O64" s="10" t="inlineStr">
        <is>
          <t>No</t>
        </is>
      </c>
      <c r="P64" s="10" t="inlineStr">
        <is>
          <t>Not started</t>
        </is>
      </c>
      <c r="Q64" s="10" t="inlineStr">
        <is>
          <t>Not started</t>
        </is>
      </c>
      <c r="R64" s="10" t="inlineStr"/>
      <c r="S64" s="10" t="inlineStr"/>
      <c r="T64" s="10" t="inlineStr"/>
      <c r="U64" s="10" t="n"/>
      <c r="V64" s="10">
        <f>IF(U64="","",IF(U64&gt;=70,"Pass","Hold"))</f>
        <v/>
      </c>
      <c r="W64" s="11" t="n">
        <v>46252</v>
      </c>
      <c r="X64" s="10" t="inlineStr">
        <is>
          <t>10:00 AM</t>
        </is>
      </c>
      <c r="Y64" s="10" t="inlineStr">
        <is>
          <t>Scheduled</t>
        </is>
      </c>
      <c r="Z64" s="11" t="n"/>
      <c r="AA64" s="10" t="inlineStr"/>
      <c r="AB64" s="10" t="inlineStr"/>
      <c r="AC64" s="10" t="n"/>
      <c r="AD64" s="10" t="n"/>
      <c r="AE64" s="10" t="n"/>
      <c r="AF64" s="10" t="n"/>
      <c r="AG64" s="10" t="n"/>
      <c r="AH64" s="10" t="n"/>
      <c r="AI64" s="10" t="n"/>
      <c r="AJ64" s="10" t="n"/>
      <c r="AK64" s="10" t="n"/>
      <c r="AL64" s="10" t="n"/>
      <c r="AM64" s="10" t="inlineStr">
        <is>
          <t>No</t>
        </is>
      </c>
      <c r="AN64" s="10" t="n"/>
      <c r="AO64" s="10" t="n"/>
      <c r="AP64" s="10">
        <f>IF(AND(AC64&lt;&gt;"",AO64&lt;&gt;"",AO64&gt;0),AC64/AO64,"")</f>
        <v/>
      </c>
      <c r="AQ64" s="10">
        <f>IF(AP64="","",IF(AP64&gt;=2,"A",IF(AP64&gt;=1.2,"B",IF(AP64&gt;=0.6,"C","D"))))</f>
        <v/>
      </c>
      <c r="AR64" s="10" t="inlineStr"/>
      <c r="AS64" s="11" t="inlineStr"/>
      <c r="AT64" s="10" t="inlineStr"/>
    </row>
    <row r="65">
      <c r="A65" s="10" t="inlineStr">
        <is>
          <t>W03-U2-LI</t>
        </is>
      </c>
      <c r="B65" s="10" t="inlineStr">
        <is>
          <t>W03-U2</t>
        </is>
      </c>
      <c r="C65" s="10" t="n">
        <v>3</v>
      </c>
      <c r="D65" s="11" t="n">
        <v>46252</v>
      </c>
      <c r="E65" s="10" t="inlineStr">
        <is>
          <t>Tuesday</t>
        </is>
      </c>
      <c r="F65" s="10" t="inlineStr">
        <is>
          <t>Farah</t>
        </is>
      </c>
      <c r="G65" s="10" t="inlineStr">
        <is>
          <t>Every case, every bottle, every SKU — accounted for.</t>
        </is>
      </c>
      <c r="H65" s="10" t="inlineStr">
        <is>
          <t>Educate</t>
        </is>
      </c>
      <c r="I65" s="10" t="inlineStr">
        <is>
          <t>Carousel</t>
        </is>
      </c>
      <c r="J65" s="10" t="inlineStr">
        <is>
          <t>LinkedIn</t>
        </is>
      </c>
      <c r="K65" s="10" t="inlineStr">
        <is>
          <t>Adapted</t>
        </is>
      </c>
      <c r="L65" s="10" t="inlineStr">
        <is>
          <t>Case-break and reorder alerts, the 3-Layer way</t>
        </is>
      </c>
      <c r="M65" s="10" t="inlineStr">
        <is>
          <t>Book a demo</t>
        </is>
      </c>
      <c r="N65" s="10" t="inlineStr">
        <is>
          <t>No</t>
        </is>
      </c>
      <c r="O65" s="10" t="inlineStr">
        <is>
          <t>No</t>
        </is>
      </c>
      <c r="P65" s="10" t="inlineStr">
        <is>
          <t>Not started</t>
        </is>
      </c>
      <c r="Q65" s="10" t="inlineStr">
        <is>
          <t>Not started</t>
        </is>
      </c>
      <c r="R65" s="10" t="inlineStr"/>
      <c r="S65" s="10" t="inlineStr"/>
      <c r="T65" s="10" t="inlineStr"/>
      <c r="U65" s="10" t="n"/>
      <c r="V65" s="10">
        <f>IF(U65="","",IF(U65&gt;=70,"Pass","Hold"))</f>
        <v/>
      </c>
      <c r="W65" s="11" t="n">
        <v>46252</v>
      </c>
      <c r="X65" s="10" t="inlineStr">
        <is>
          <t>10:00 AM</t>
        </is>
      </c>
      <c r="Y65" s="10" t="inlineStr">
        <is>
          <t>Scheduled</t>
        </is>
      </c>
      <c r="Z65" s="11" t="n"/>
      <c r="AA65" s="10" t="inlineStr"/>
      <c r="AB65" s="10" t="inlineStr"/>
      <c r="AC65" s="10" t="n"/>
      <c r="AD65" s="10" t="n"/>
      <c r="AE65" s="10" t="n"/>
      <c r="AF65" s="10" t="n"/>
      <c r="AG65" s="10" t="n"/>
      <c r="AH65" s="10" t="n"/>
      <c r="AI65" s="10" t="n"/>
      <c r="AJ65" s="10" t="n"/>
      <c r="AK65" s="10" t="n"/>
      <c r="AL65" s="10" t="n"/>
      <c r="AM65" s="10" t="inlineStr">
        <is>
          <t>No</t>
        </is>
      </c>
      <c r="AN65" s="10" t="n"/>
      <c r="AO65" s="10" t="n"/>
      <c r="AP65" s="10">
        <f>IF(AND(AC65&lt;&gt;"",AO65&lt;&gt;"",AO65&gt;0),AC65/AO65,"")</f>
        <v/>
      </c>
      <c r="AQ65" s="10">
        <f>IF(AP65="","",IF(AP65&gt;=2,"A",IF(AP65&gt;=1.2,"B",IF(AP65&gt;=0.6,"C","D"))))</f>
        <v/>
      </c>
      <c r="AR65" s="10" t="inlineStr"/>
      <c r="AS65" s="11" t="inlineStr"/>
      <c r="AT65" s="10" t="inlineStr"/>
    </row>
    <row r="66">
      <c r="A66" s="10" t="inlineStr">
        <is>
          <t>W03-U3-TI</t>
        </is>
      </c>
      <c r="B66" s="10" t="inlineStr">
        <is>
          <t>W03-U3</t>
        </is>
      </c>
      <c r="C66" s="10" t="n">
        <v>3</v>
      </c>
      <c r="D66" s="11" t="n">
        <v>46253</v>
      </c>
      <c r="E66" s="10" t="inlineStr">
        <is>
          <t>Wednesday</t>
        </is>
      </c>
      <c r="F66" s="10" t="inlineStr">
        <is>
          <t>Farah</t>
        </is>
      </c>
      <c r="G66" s="10" t="inlineStr">
        <is>
          <t>Every case, every bottle, every SKU — accounted for.</t>
        </is>
      </c>
      <c r="H66" s="10" t="inlineStr">
        <is>
          <t>Inspire</t>
        </is>
      </c>
      <c r="I66" s="10" t="inlineStr">
        <is>
          <t>Video</t>
        </is>
      </c>
      <c r="J66" s="10" t="inlineStr">
        <is>
          <t>TikTok</t>
        </is>
      </c>
      <c r="K66" s="10" t="inlineStr">
        <is>
          <t>Primary</t>
        </is>
      </c>
      <c r="L66" s="10" t="inlineStr">
        <is>
          <t>The Sunday count</t>
        </is>
      </c>
      <c r="M66" s="10" t="inlineStr">
        <is>
          <t>Book a demo</t>
        </is>
      </c>
      <c r="N66" s="10" t="inlineStr">
        <is>
          <t>No</t>
        </is>
      </c>
      <c r="O66" s="10" t="inlineStr">
        <is>
          <t>No</t>
        </is>
      </c>
      <c r="P66" s="10" t="inlineStr">
        <is>
          <t>Not started</t>
        </is>
      </c>
      <c r="Q66" s="10" t="inlineStr">
        <is>
          <t>Not started</t>
        </is>
      </c>
      <c r="R66" s="10" t="inlineStr"/>
      <c r="S66" s="10" t="inlineStr"/>
      <c r="T66" s="10" t="inlineStr"/>
      <c r="U66" s="10" t="n"/>
      <c r="V66" s="10">
        <f>IF(U66="","",IF(U66&gt;=70,"Pass","Hold"))</f>
        <v/>
      </c>
      <c r="W66" s="11" t="n">
        <v>46253</v>
      </c>
      <c r="X66" s="10" t="inlineStr">
        <is>
          <t>10:00 AM</t>
        </is>
      </c>
      <c r="Y66" s="10" t="inlineStr">
        <is>
          <t>Scheduled</t>
        </is>
      </c>
      <c r="Z66" s="11" t="n"/>
      <c r="AA66" s="10" t="inlineStr"/>
      <c r="AB66" s="10" t="inlineStr"/>
      <c r="AC66" s="10" t="n"/>
      <c r="AD66" s="10" t="n"/>
      <c r="AE66" s="10" t="n"/>
      <c r="AF66" s="10" t="n"/>
      <c r="AG66" s="10" t="n"/>
      <c r="AH66" s="10" t="n"/>
      <c r="AI66" s="10" t="n"/>
      <c r="AJ66" s="10" t="n"/>
      <c r="AK66" s="10" t="n"/>
      <c r="AL66" s="10" t="n"/>
      <c r="AM66" s="10" t="inlineStr">
        <is>
          <t>No</t>
        </is>
      </c>
      <c r="AN66" s="10" t="n"/>
      <c r="AO66" s="10" t="n"/>
      <c r="AP66" s="10">
        <f>IF(AND(AC66&lt;&gt;"",AO66&lt;&gt;"",AO66&gt;0),AC66/AO66,"")</f>
        <v/>
      </c>
      <c r="AQ66" s="10">
        <f>IF(AP66="","",IF(AP66&gt;=2,"A",IF(AP66&gt;=1.2,"B",IF(AP66&gt;=0.6,"C","D"))))</f>
        <v/>
      </c>
      <c r="AR66" s="10" t="inlineStr"/>
      <c r="AS66" s="11" t="inlineStr"/>
      <c r="AT66" s="10" t="inlineStr"/>
    </row>
    <row r="67">
      <c r="A67" s="10" t="inlineStr">
        <is>
          <t>W03-U3-IN</t>
        </is>
      </c>
      <c r="B67" s="10" t="inlineStr">
        <is>
          <t>W03-U3</t>
        </is>
      </c>
      <c r="C67" s="10" t="n">
        <v>3</v>
      </c>
      <c r="D67" s="11" t="n">
        <v>46253</v>
      </c>
      <c r="E67" s="10" t="inlineStr">
        <is>
          <t>Wednesday</t>
        </is>
      </c>
      <c r="F67" s="10" t="inlineStr">
        <is>
          <t>Farah</t>
        </is>
      </c>
      <c r="G67" s="10" t="inlineStr">
        <is>
          <t>Every case, every bottle, every SKU — accounted for.</t>
        </is>
      </c>
      <c r="H67" s="10" t="inlineStr">
        <is>
          <t>Inspire</t>
        </is>
      </c>
      <c r="I67" s="10" t="inlineStr">
        <is>
          <t>Video</t>
        </is>
      </c>
      <c r="J67" s="10" t="inlineStr">
        <is>
          <t>Instagram</t>
        </is>
      </c>
      <c r="K67" s="10" t="inlineStr">
        <is>
          <t>Mirror</t>
        </is>
      </c>
      <c r="L67" s="10" t="inlineStr">
        <is>
          <t>The Sunday count</t>
        </is>
      </c>
      <c r="M67" s="10" t="inlineStr">
        <is>
          <t>Book a demo</t>
        </is>
      </c>
      <c r="N67" s="10" t="inlineStr">
        <is>
          <t>No</t>
        </is>
      </c>
      <c r="O67" s="10" t="inlineStr">
        <is>
          <t>No</t>
        </is>
      </c>
      <c r="P67" s="10" t="inlineStr">
        <is>
          <t>Not started</t>
        </is>
      </c>
      <c r="Q67" s="10" t="inlineStr">
        <is>
          <t>Not started</t>
        </is>
      </c>
      <c r="R67" s="10" t="inlineStr"/>
      <c r="S67" s="10" t="inlineStr"/>
      <c r="T67" s="10" t="inlineStr"/>
      <c r="U67" s="10" t="n"/>
      <c r="V67" s="10">
        <f>IF(U67="","",IF(U67&gt;=70,"Pass","Hold"))</f>
        <v/>
      </c>
      <c r="W67" s="11" t="n">
        <v>46253</v>
      </c>
      <c r="X67" s="10" t="inlineStr">
        <is>
          <t>10:00 AM</t>
        </is>
      </c>
      <c r="Y67" s="10" t="inlineStr">
        <is>
          <t>Scheduled</t>
        </is>
      </c>
      <c r="Z67" s="11" t="n"/>
      <c r="AA67" s="10" t="inlineStr"/>
      <c r="AB67" s="10" t="inlineStr"/>
      <c r="AC67" s="10" t="n"/>
      <c r="AD67" s="10" t="n"/>
      <c r="AE67" s="10" t="n"/>
      <c r="AF67" s="10" t="n"/>
      <c r="AG67" s="10" t="n"/>
      <c r="AH67" s="10" t="n"/>
      <c r="AI67" s="10" t="n"/>
      <c r="AJ67" s="10" t="n"/>
      <c r="AK67" s="10" t="n"/>
      <c r="AL67" s="10" t="n"/>
      <c r="AM67" s="10" t="inlineStr">
        <is>
          <t>No</t>
        </is>
      </c>
      <c r="AN67" s="10" t="n"/>
      <c r="AO67" s="10" t="n"/>
      <c r="AP67" s="10">
        <f>IF(AND(AC67&lt;&gt;"",AO67&lt;&gt;"",AO67&gt;0),AC67/AO67,"")</f>
        <v/>
      </c>
      <c r="AQ67" s="10">
        <f>IF(AP67="","",IF(AP67&gt;=2,"A",IF(AP67&gt;=1.2,"B",IF(AP67&gt;=0.6,"C","D"))))</f>
        <v/>
      </c>
      <c r="AR67" s="10" t="inlineStr"/>
      <c r="AS67" s="11" t="inlineStr"/>
      <c r="AT67" s="10" t="inlineStr"/>
    </row>
    <row r="68">
      <c r="A68" s="10" t="inlineStr">
        <is>
          <t>W03-U4-LI</t>
        </is>
      </c>
      <c r="B68" s="10" t="inlineStr">
        <is>
          <t>W03-U4</t>
        </is>
      </c>
      <c r="C68" s="10" t="n">
        <v>3</v>
      </c>
      <c r="D68" s="11" t="n">
        <v>46254</v>
      </c>
      <c r="E68" s="10" t="inlineStr">
        <is>
          <t>Thursday</t>
        </is>
      </c>
      <c r="F68" s="10" t="inlineStr">
        <is>
          <t>Farah</t>
        </is>
      </c>
      <c r="G68" s="10" t="inlineStr">
        <is>
          <t>Every case, every bottle, every SKU — accounted for.</t>
        </is>
      </c>
      <c r="H68" s="10" t="inlineStr">
        <is>
          <t>Educate</t>
        </is>
      </c>
      <c r="I68" s="10" t="inlineStr">
        <is>
          <t>Static</t>
        </is>
      </c>
      <c r="J68" s="10" t="inlineStr">
        <is>
          <t>LinkedIn</t>
        </is>
      </c>
      <c r="K68" s="10" t="inlineStr">
        <is>
          <t>Primary</t>
        </is>
      </c>
      <c r="L68" s="10" t="inlineStr">
        <is>
          <t>What shrinkage actually costs</t>
        </is>
      </c>
      <c r="M68" s="10" t="inlineStr">
        <is>
          <t>Book a demo</t>
        </is>
      </c>
      <c r="N68" s="10" t="inlineStr">
        <is>
          <t>No</t>
        </is>
      </c>
      <c r="O68" s="10" t="inlineStr">
        <is>
          <t>No</t>
        </is>
      </c>
      <c r="P68" s="10" t="inlineStr">
        <is>
          <t>Not started</t>
        </is>
      </c>
      <c r="Q68" s="10" t="inlineStr">
        <is>
          <t>Not started</t>
        </is>
      </c>
      <c r="R68" s="10" t="inlineStr"/>
      <c r="S68" s="10" t="inlineStr"/>
      <c r="T68" s="10" t="inlineStr"/>
      <c r="U68" s="10" t="n"/>
      <c r="V68" s="10">
        <f>IF(U68="","",IF(U68&gt;=70,"Pass","Hold"))</f>
        <v/>
      </c>
      <c r="W68" s="11" t="n">
        <v>46254</v>
      </c>
      <c r="X68" s="10" t="inlineStr">
        <is>
          <t>10:00 AM</t>
        </is>
      </c>
      <c r="Y68" s="10" t="inlineStr">
        <is>
          <t>Scheduled</t>
        </is>
      </c>
      <c r="Z68" s="11" t="n"/>
      <c r="AA68" s="10" t="inlineStr"/>
      <c r="AB68" s="10" t="inlineStr"/>
      <c r="AC68" s="10" t="n"/>
      <c r="AD68" s="10" t="n"/>
      <c r="AE68" s="10" t="n"/>
      <c r="AF68" s="10" t="n"/>
      <c r="AG68" s="10" t="n"/>
      <c r="AH68" s="10" t="n"/>
      <c r="AI68" s="10" t="n"/>
      <c r="AJ68" s="10" t="n"/>
      <c r="AK68" s="10" t="n"/>
      <c r="AL68" s="10" t="n"/>
      <c r="AM68" s="10" t="inlineStr">
        <is>
          <t>No</t>
        </is>
      </c>
      <c r="AN68" s="10" t="n"/>
      <c r="AO68" s="10" t="n"/>
      <c r="AP68" s="10">
        <f>IF(AND(AC68&lt;&gt;"",AO68&lt;&gt;"",AO68&gt;0),AC68/AO68,"")</f>
        <v/>
      </c>
      <c r="AQ68" s="10">
        <f>IF(AP68="","",IF(AP68&gt;=2,"A",IF(AP68&gt;=1.2,"B",IF(AP68&gt;=0.6,"C","D"))))</f>
        <v/>
      </c>
      <c r="AR68" s="10" t="inlineStr"/>
      <c r="AS68" s="11" t="inlineStr"/>
      <c r="AT68" s="10" t="inlineStr"/>
    </row>
    <row r="69">
      <c r="A69" s="10" t="inlineStr">
        <is>
          <t>W03-U4-FA</t>
        </is>
      </c>
      <c r="B69" s="10" t="inlineStr">
        <is>
          <t>W03-U4</t>
        </is>
      </c>
      <c r="C69" s="10" t="n">
        <v>3</v>
      </c>
      <c r="D69" s="11" t="n">
        <v>46254</v>
      </c>
      <c r="E69" s="10" t="inlineStr">
        <is>
          <t>Thursday</t>
        </is>
      </c>
      <c r="F69" s="10" t="inlineStr">
        <is>
          <t>Farah</t>
        </is>
      </c>
      <c r="G69" s="10" t="inlineStr">
        <is>
          <t>Every case, every bottle, every SKU — accounted for.</t>
        </is>
      </c>
      <c r="H69" s="10" t="inlineStr">
        <is>
          <t>Educate</t>
        </is>
      </c>
      <c r="I69" s="10" t="inlineStr">
        <is>
          <t>Static</t>
        </is>
      </c>
      <c r="J69" s="10" t="inlineStr">
        <is>
          <t>Facebook</t>
        </is>
      </c>
      <c r="K69" s="10" t="inlineStr">
        <is>
          <t>Mirror</t>
        </is>
      </c>
      <c r="L69" s="10" t="inlineStr">
        <is>
          <t>What shrinkage actually costs</t>
        </is>
      </c>
      <c r="M69" s="10" t="inlineStr">
        <is>
          <t>Book a demo</t>
        </is>
      </c>
      <c r="N69" s="10" t="inlineStr">
        <is>
          <t>No</t>
        </is>
      </c>
      <c r="O69" s="10" t="inlineStr">
        <is>
          <t>No</t>
        </is>
      </c>
      <c r="P69" s="10" t="inlineStr">
        <is>
          <t>Not started</t>
        </is>
      </c>
      <c r="Q69" s="10" t="inlineStr">
        <is>
          <t>Not started</t>
        </is>
      </c>
      <c r="R69" s="10" t="inlineStr"/>
      <c r="S69" s="10" t="inlineStr"/>
      <c r="T69" s="10" t="inlineStr"/>
      <c r="U69" s="10" t="n"/>
      <c r="V69" s="10">
        <f>IF(U69="","",IF(U69&gt;=70,"Pass","Hold"))</f>
        <v/>
      </c>
      <c r="W69" s="11" t="n">
        <v>46254</v>
      </c>
      <c r="X69" s="10" t="inlineStr">
        <is>
          <t>10:00 AM</t>
        </is>
      </c>
      <c r="Y69" s="10" t="inlineStr">
        <is>
          <t>Scheduled</t>
        </is>
      </c>
      <c r="Z69" s="11" t="n"/>
      <c r="AA69" s="10" t="inlineStr"/>
      <c r="AB69" s="10" t="inlineStr"/>
      <c r="AC69" s="10" t="n"/>
      <c r="AD69" s="10" t="n"/>
      <c r="AE69" s="10" t="n"/>
      <c r="AF69" s="10" t="n"/>
      <c r="AG69" s="10" t="n"/>
      <c r="AH69" s="10" t="n"/>
      <c r="AI69" s="10" t="n"/>
      <c r="AJ69" s="10" t="n"/>
      <c r="AK69" s="10" t="n"/>
      <c r="AL69" s="10" t="n"/>
      <c r="AM69" s="10" t="inlineStr">
        <is>
          <t>No</t>
        </is>
      </c>
      <c r="AN69" s="10" t="n"/>
      <c r="AO69" s="10" t="n"/>
      <c r="AP69" s="10">
        <f>IF(AND(AC69&lt;&gt;"",AO69&lt;&gt;"",AO69&gt;0),AC69/AO69,"")</f>
        <v/>
      </c>
      <c r="AQ69" s="10">
        <f>IF(AP69="","",IF(AP69&gt;=2,"A",IF(AP69&gt;=1.2,"B",IF(AP69&gt;=0.6,"C","D"))))</f>
        <v/>
      </c>
      <c r="AR69" s="10" t="inlineStr"/>
      <c r="AS69" s="11" t="inlineStr"/>
      <c r="AT69" s="10" t="inlineStr"/>
    </row>
    <row r="70">
      <c r="A70" s="10" t="inlineStr">
        <is>
          <t>W03-U4-IN</t>
        </is>
      </c>
      <c r="B70" s="10" t="inlineStr">
        <is>
          <t>W03-U4</t>
        </is>
      </c>
      <c r="C70" s="10" t="n">
        <v>3</v>
      </c>
      <c r="D70" s="11" t="n">
        <v>46254</v>
      </c>
      <c r="E70" s="10" t="inlineStr">
        <is>
          <t>Thursday</t>
        </is>
      </c>
      <c r="F70" s="10" t="inlineStr">
        <is>
          <t>Farah</t>
        </is>
      </c>
      <c r="G70" s="10" t="inlineStr">
        <is>
          <t>Every case, every bottle, every SKU — accounted for.</t>
        </is>
      </c>
      <c r="H70" s="10" t="inlineStr">
        <is>
          <t>Educate</t>
        </is>
      </c>
      <c r="I70" s="10" t="inlineStr">
        <is>
          <t>Static</t>
        </is>
      </c>
      <c r="J70" s="10" t="inlineStr">
        <is>
          <t>Instagram</t>
        </is>
      </c>
      <c r="K70" s="10" t="inlineStr">
        <is>
          <t>Adapted</t>
        </is>
      </c>
      <c r="L70" s="10" t="inlineStr">
        <is>
          <t>What shrinkage actually costs</t>
        </is>
      </c>
      <c r="M70" s="10" t="inlineStr">
        <is>
          <t>Book a demo</t>
        </is>
      </c>
      <c r="N70" s="10" t="inlineStr">
        <is>
          <t>No</t>
        </is>
      </c>
      <c r="O70" s="10" t="inlineStr">
        <is>
          <t>No</t>
        </is>
      </c>
      <c r="P70" s="10" t="inlineStr">
        <is>
          <t>Not started</t>
        </is>
      </c>
      <c r="Q70" s="10" t="inlineStr">
        <is>
          <t>Not started</t>
        </is>
      </c>
      <c r="R70" s="10" t="inlineStr"/>
      <c r="S70" s="10" t="inlineStr"/>
      <c r="T70" s="10" t="inlineStr"/>
      <c r="U70" s="10" t="n"/>
      <c r="V70" s="10">
        <f>IF(U70="","",IF(U70&gt;=70,"Pass","Hold"))</f>
        <v/>
      </c>
      <c r="W70" s="11" t="n">
        <v>46254</v>
      </c>
      <c r="X70" s="10" t="inlineStr">
        <is>
          <t>10:00 AM</t>
        </is>
      </c>
      <c r="Y70" s="10" t="inlineStr">
        <is>
          <t>Scheduled</t>
        </is>
      </c>
      <c r="Z70" s="11" t="n"/>
      <c r="AA70" s="10" t="inlineStr"/>
      <c r="AB70" s="10" t="inlineStr"/>
      <c r="AC70" s="10" t="n"/>
      <c r="AD70" s="10" t="n"/>
      <c r="AE70" s="10" t="n"/>
      <c r="AF70" s="10" t="n"/>
      <c r="AG70" s="10" t="n"/>
      <c r="AH70" s="10" t="n"/>
      <c r="AI70" s="10" t="n"/>
      <c r="AJ70" s="10" t="n"/>
      <c r="AK70" s="10" t="n"/>
      <c r="AL70" s="10" t="n"/>
      <c r="AM70" s="10" t="inlineStr">
        <is>
          <t>No</t>
        </is>
      </c>
      <c r="AN70" s="10" t="n"/>
      <c r="AO70" s="10" t="n"/>
      <c r="AP70" s="10">
        <f>IF(AND(AC70&lt;&gt;"",AO70&lt;&gt;"",AO70&gt;0),AC70/AO70,"")</f>
        <v/>
      </c>
      <c r="AQ70" s="10">
        <f>IF(AP70="","",IF(AP70&gt;=2,"A",IF(AP70&gt;=1.2,"B",IF(AP70&gt;=0.6,"C","D"))))</f>
        <v/>
      </c>
      <c r="AR70" s="10" t="inlineStr"/>
      <c r="AS70" s="11" t="inlineStr"/>
      <c r="AT70" s="10" t="inlineStr"/>
    </row>
    <row r="71">
      <c r="A71" s="10" t="inlineStr">
        <is>
          <t>W03-U5-IN</t>
        </is>
      </c>
      <c r="B71" s="10" t="inlineStr">
        <is>
          <t>W03-U5</t>
        </is>
      </c>
      <c r="C71" s="10" t="n">
        <v>3</v>
      </c>
      <c r="D71" s="11" t="n">
        <v>46255</v>
      </c>
      <c r="E71" s="10" t="inlineStr">
        <is>
          <t>Friday</t>
        </is>
      </c>
      <c r="F71" s="10" t="inlineStr">
        <is>
          <t>Farah</t>
        </is>
      </c>
      <c r="G71" s="10" t="inlineStr">
        <is>
          <t>Every case, every bottle, every SKU — accounted for.</t>
        </is>
      </c>
      <c r="H71" s="10" t="inlineStr">
        <is>
          <t>Engage</t>
        </is>
      </c>
      <c r="I71" s="10" t="inlineStr">
        <is>
          <t>Text</t>
        </is>
      </c>
      <c r="J71" s="10" t="inlineStr">
        <is>
          <t>Instagram</t>
        </is>
      </c>
      <c r="K71" s="10" t="inlineStr">
        <is>
          <t>Primary</t>
        </is>
      </c>
      <c r="L71" s="10" t="inlineStr">
        <is>
          <t>How long does your count take?</t>
        </is>
      </c>
      <c r="M71" s="10" t="inlineStr">
        <is>
          <t>Engage (vote)</t>
        </is>
      </c>
      <c r="N71" s="10" t="inlineStr">
        <is>
          <t>No</t>
        </is>
      </c>
      <c r="O71" s="10" t="inlineStr">
        <is>
          <t>No</t>
        </is>
      </c>
      <c r="P71" s="10" t="inlineStr">
        <is>
          <t>Not started</t>
        </is>
      </c>
      <c r="Q71" s="10" t="inlineStr">
        <is>
          <t>Not started</t>
        </is>
      </c>
      <c r="R71" s="10" t="inlineStr"/>
      <c r="S71" s="10" t="inlineStr"/>
      <c r="T71" s="10" t="inlineStr"/>
      <c r="U71" s="10" t="n"/>
      <c r="V71" s="10">
        <f>IF(U71="","",IF(U71&gt;=70,"Pass","Hold"))</f>
        <v/>
      </c>
      <c r="W71" s="11" t="n">
        <v>46255</v>
      </c>
      <c r="X71" s="10" t="inlineStr">
        <is>
          <t>10:00 AM</t>
        </is>
      </c>
      <c r="Y71" s="10" t="inlineStr">
        <is>
          <t>Scheduled</t>
        </is>
      </c>
      <c r="Z71" s="11" t="n"/>
      <c r="AA71" s="10" t="inlineStr"/>
      <c r="AB71" s="10" t="inlineStr"/>
      <c r="AC71" s="10" t="n"/>
      <c r="AD71" s="10" t="n"/>
      <c r="AE71" s="10" t="n"/>
      <c r="AF71" s="10" t="n"/>
      <c r="AG71" s="10" t="n"/>
      <c r="AH71" s="10" t="n"/>
      <c r="AI71" s="10" t="n"/>
      <c r="AJ71" s="10" t="n"/>
      <c r="AK71" s="10" t="n"/>
      <c r="AL71" s="10" t="n"/>
      <c r="AM71" s="10" t="inlineStr">
        <is>
          <t>No</t>
        </is>
      </c>
      <c r="AN71" s="10" t="n"/>
      <c r="AO71" s="10" t="n"/>
      <c r="AP71" s="10">
        <f>IF(AND(AC71&lt;&gt;"",AO71&lt;&gt;"",AO71&gt;0),AC71/AO71,"")</f>
        <v/>
      </c>
      <c r="AQ71" s="10">
        <f>IF(AP71="","",IF(AP71&gt;=2,"A",IF(AP71&gt;=1.2,"B",IF(AP71&gt;=0.6,"C","D"))))</f>
        <v/>
      </c>
      <c r="AR71" s="10" t="inlineStr"/>
      <c r="AS71" s="11" t="inlineStr"/>
      <c r="AT71" s="10" t="inlineStr"/>
    </row>
    <row r="72">
      <c r="A72" s="10" t="inlineStr">
        <is>
          <t>W03-U5-LI</t>
        </is>
      </c>
      <c r="B72" s="10" t="inlineStr">
        <is>
          <t>W03-U5</t>
        </is>
      </c>
      <c r="C72" s="10" t="n">
        <v>3</v>
      </c>
      <c r="D72" s="11" t="n">
        <v>46255</v>
      </c>
      <c r="E72" s="10" t="inlineStr">
        <is>
          <t>Friday</t>
        </is>
      </c>
      <c r="F72" s="10" t="inlineStr">
        <is>
          <t>Farah</t>
        </is>
      </c>
      <c r="G72" s="10" t="inlineStr">
        <is>
          <t>Every case, every bottle, every SKU — accounted for.</t>
        </is>
      </c>
      <c r="H72" s="10" t="inlineStr">
        <is>
          <t>Engage</t>
        </is>
      </c>
      <c r="I72" s="10" t="inlineStr">
        <is>
          <t>Text</t>
        </is>
      </c>
      <c r="J72" s="10" t="inlineStr">
        <is>
          <t>LinkedIn</t>
        </is>
      </c>
      <c r="K72" s="10" t="inlineStr">
        <is>
          <t>Adapted</t>
        </is>
      </c>
      <c r="L72" s="10" t="inlineStr">
        <is>
          <t>How long does your count take?</t>
        </is>
      </c>
      <c r="M72" s="10" t="inlineStr">
        <is>
          <t>Engage (vote)</t>
        </is>
      </c>
      <c r="N72" s="10" t="inlineStr">
        <is>
          <t>No</t>
        </is>
      </c>
      <c r="O72" s="10" t="inlineStr">
        <is>
          <t>No</t>
        </is>
      </c>
      <c r="P72" s="10" t="inlineStr">
        <is>
          <t>Not started</t>
        </is>
      </c>
      <c r="Q72" s="10" t="inlineStr">
        <is>
          <t>Not started</t>
        </is>
      </c>
      <c r="R72" s="10" t="inlineStr"/>
      <c r="S72" s="10" t="inlineStr"/>
      <c r="T72" s="10" t="inlineStr"/>
      <c r="U72" s="10" t="n"/>
      <c r="V72" s="10">
        <f>IF(U72="","",IF(U72&gt;=70,"Pass","Hold"))</f>
        <v/>
      </c>
      <c r="W72" s="11" t="n">
        <v>46255</v>
      </c>
      <c r="X72" s="10" t="inlineStr">
        <is>
          <t>10:00 AM</t>
        </is>
      </c>
      <c r="Y72" s="10" t="inlineStr">
        <is>
          <t>Scheduled</t>
        </is>
      </c>
      <c r="Z72" s="11" t="n"/>
      <c r="AA72" s="10" t="inlineStr"/>
      <c r="AB72" s="10" t="inlineStr"/>
      <c r="AC72" s="10" t="n"/>
      <c r="AD72" s="10" t="n"/>
      <c r="AE72" s="10" t="n"/>
      <c r="AF72" s="10" t="n"/>
      <c r="AG72" s="10" t="n"/>
      <c r="AH72" s="10" t="n"/>
      <c r="AI72" s="10" t="n"/>
      <c r="AJ72" s="10" t="n"/>
      <c r="AK72" s="10" t="n"/>
      <c r="AL72" s="10" t="n"/>
      <c r="AM72" s="10" t="inlineStr">
        <is>
          <t>No</t>
        </is>
      </c>
      <c r="AN72" s="10" t="n"/>
      <c r="AO72" s="10" t="n"/>
      <c r="AP72" s="10">
        <f>IF(AND(AC72&lt;&gt;"",AO72&lt;&gt;"",AO72&gt;0),AC72/AO72,"")</f>
        <v/>
      </c>
      <c r="AQ72" s="10">
        <f>IF(AP72="","",IF(AP72&gt;=2,"A",IF(AP72&gt;=1.2,"B",IF(AP72&gt;=0.6,"C","D"))))</f>
        <v/>
      </c>
      <c r="AR72" s="10" t="inlineStr"/>
      <c r="AS72" s="11" t="inlineStr"/>
      <c r="AT72" s="10" t="inlineStr"/>
    </row>
    <row r="73">
      <c r="A73" s="10" t="inlineStr">
        <is>
          <t>W03-U6-IN</t>
        </is>
      </c>
      <c r="B73" s="10" t="inlineStr">
        <is>
          <t>W03-U6</t>
        </is>
      </c>
      <c r="C73" s="10" t="n">
        <v>3</v>
      </c>
      <c r="D73" s="11" t="n">
        <v>46256</v>
      </c>
      <c r="E73" s="10" t="inlineStr">
        <is>
          <t>Saturday</t>
        </is>
      </c>
      <c r="F73" s="10" t="inlineStr">
        <is>
          <t>Farah</t>
        </is>
      </c>
      <c r="G73" s="10" t="inlineStr">
        <is>
          <t>Every case, every bottle, every SKU — accounted for.</t>
        </is>
      </c>
      <c r="H73" s="10" t="inlineStr">
        <is>
          <t>Inspire</t>
        </is>
      </c>
      <c r="I73" s="10" t="inlineStr">
        <is>
          <t>Static</t>
        </is>
      </c>
      <c r="J73" s="10" t="inlineStr">
        <is>
          <t>Instagram</t>
        </is>
      </c>
      <c r="K73" s="10" t="inlineStr">
        <is>
          <t>Primary</t>
        </is>
      </c>
      <c r="L73" s="10" t="inlineStr">
        <is>
          <t>Every case, every bottle, every SKU</t>
        </is>
      </c>
      <c r="M73" s="10" t="inlineStr">
        <is>
          <t>Book a demo</t>
        </is>
      </c>
      <c r="N73" s="10" t="inlineStr">
        <is>
          <t>No</t>
        </is>
      </c>
      <c r="O73" s="10" t="inlineStr">
        <is>
          <t>No</t>
        </is>
      </c>
      <c r="P73" s="10" t="inlineStr">
        <is>
          <t>Not started</t>
        </is>
      </c>
      <c r="Q73" s="10" t="inlineStr">
        <is>
          <t>Not started</t>
        </is>
      </c>
      <c r="R73" s="10" t="inlineStr"/>
      <c r="S73" s="10" t="inlineStr"/>
      <c r="T73" s="10" t="inlineStr"/>
      <c r="U73" s="10" t="n"/>
      <c r="V73" s="10">
        <f>IF(U73="","",IF(U73&gt;=70,"Pass","Hold"))</f>
        <v/>
      </c>
      <c r="W73" s="11" t="n">
        <v>46256</v>
      </c>
      <c r="X73" s="10" t="inlineStr">
        <is>
          <t>10:00 AM</t>
        </is>
      </c>
      <c r="Y73" s="10" t="inlineStr">
        <is>
          <t>Scheduled</t>
        </is>
      </c>
      <c r="Z73" s="11" t="n"/>
      <c r="AA73" s="10" t="inlineStr"/>
      <c r="AB73" s="10" t="inlineStr"/>
      <c r="AC73" s="10" t="n"/>
      <c r="AD73" s="10" t="n"/>
      <c r="AE73" s="10" t="n"/>
      <c r="AF73" s="10" t="n"/>
      <c r="AG73" s="10" t="n"/>
      <c r="AH73" s="10" t="n"/>
      <c r="AI73" s="10" t="n"/>
      <c r="AJ73" s="10" t="n"/>
      <c r="AK73" s="10" t="n"/>
      <c r="AL73" s="10" t="n"/>
      <c r="AM73" s="10" t="inlineStr">
        <is>
          <t>No</t>
        </is>
      </c>
      <c r="AN73" s="10" t="n"/>
      <c r="AO73" s="10" t="n"/>
      <c r="AP73" s="10">
        <f>IF(AND(AC73&lt;&gt;"",AO73&lt;&gt;"",AO73&gt;0),AC73/AO73,"")</f>
        <v/>
      </c>
      <c r="AQ73" s="10">
        <f>IF(AP73="","",IF(AP73&gt;=2,"A",IF(AP73&gt;=1.2,"B",IF(AP73&gt;=0.6,"C","D"))))</f>
        <v/>
      </c>
      <c r="AR73" s="10" t="inlineStr"/>
      <c r="AS73" s="11" t="inlineStr"/>
      <c r="AT73" s="10" t="inlineStr"/>
    </row>
    <row r="74">
      <c r="A74" s="10" t="inlineStr">
        <is>
          <t>W03-U6-FA</t>
        </is>
      </c>
      <c r="B74" s="10" t="inlineStr">
        <is>
          <t>W03-U6</t>
        </is>
      </c>
      <c r="C74" s="10" t="n">
        <v>3</v>
      </c>
      <c r="D74" s="11" t="n">
        <v>46256</v>
      </c>
      <c r="E74" s="10" t="inlineStr">
        <is>
          <t>Saturday</t>
        </is>
      </c>
      <c r="F74" s="10" t="inlineStr">
        <is>
          <t>Farah</t>
        </is>
      </c>
      <c r="G74" s="10" t="inlineStr">
        <is>
          <t>Every case, every bottle, every SKU — accounted for.</t>
        </is>
      </c>
      <c r="H74" s="10" t="inlineStr">
        <is>
          <t>Inspire</t>
        </is>
      </c>
      <c r="I74" s="10" t="inlineStr">
        <is>
          <t>Static</t>
        </is>
      </c>
      <c r="J74" s="10" t="inlineStr">
        <is>
          <t>Facebook</t>
        </is>
      </c>
      <c r="K74" s="10" t="inlineStr">
        <is>
          <t>Mirror</t>
        </is>
      </c>
      <c r="L74" s="10" t="inlineStr">
        <is>
          <t>Every case, every bottle, every SKU</t>
        </is>
      </c>
      <c r="M74" s="10" t="inlineStr">
        <is>
          <t>Book a demo</t>
        </is>
      </c>
      <c r="N74" s="10" t="inlineStr">
        <is>
          <t>No</t>
        </is>
      </c>
      <c r="O74" s="10" t="inlineStr">
        <is>
          <t>No</t>
        </is>
      </c>
      <c r="P74" s="10" t="inlineStr">
        <is>
          <t>Not started</t>
        </is>
      </c>
      <c r="Q74" s="10" t="inlineStr">
        <is>
          <t>Not started</t>
        </is>
      </c>
      <c r="R74" s="10" t="inlineStr"/>
      <c r="S74" s="10" t="inlineStr"/>
      <c r="T74" s="10" t="inlineStr"/>
      <c r="U74" s="10" t="n"/>
      <c r="V74" s="10">
        <f>IF(U74="","",IF(U74&gt;=70,"Pass","Hold"))</f>
        <v/>
      </c>
      <c r="W74" s="11" t="n">
        <v>46256</v>
      </c>
      <c r="X74" s="10" t="inlineStr">
        <is>
          <t>10:00 AM</t>
        </is>
      </c>
      <c r="Y74" s="10" t="inlineStr">
        <is>
          <t>Scheduled</t>
        </is>
      </c>
      <c r="Z74" s="11" t="n"/>
      <c r="AA74" s="10" t="inlineStr"/>
      <c r="AB74" s="10" t="inlineStr"/>
      <c r="AC74" s="10" t="n"/>
      <c r="AD74" s="10" t="n"/>
      <c r="AE74" s="10" t="n"/>
      <c r="AF74" s="10" t="n"/>
      <c r="AG74" s="10" t="n"/>
      <c r="AH74" s="10" t="n"/>
      <c r="AI74" s="10" t="n"/>
      <c r="AJ74" s="10" t="n"/>
      <c r="AK74" s="10" t="n"/>
      <c r="AL74" s="10" t="n"/>
      <c r="AM74" s="10" t="inlineStr">
        <is>
          <t>No</t>
        </is>
      </c>
      <c r="AN74" s="10" t="n"/>
      <c r="AO74" s="10" t="n"/>
      <c r="AP74" s="10">
        <f>IF(AND(AC74&lt;&gt;"",AO74&lt;&gt;"",AO74&gt;0),AC74/AO74,"")</f>
        <v/>
      </c>
      <c r="AQ74" s="10">
        <f>IF(AP74="","",IF(AP74&gt;=2,"A",IF(AP74&gt;=1.2,"B",IF(AP74&gt;=0.6,"C","D"))))</f>
        <v/>
      </c>
      <c r="AR74" s="10" t="inlineStr"/>
      <c r="AS74" s="11" t="inlineStr"/>
      <c r="AT74" s="10" t="inlineStr"/>
    </row>
    <row r="75">
      <c r="A75" s="10" t="inlineStr">
        <is>
          <t>W03-U6-X</t>
        </is>
      </c>
      <c r="B75" s="10" t="inlineStr">
        <is>
          <t>W03-U6</t>
        </is>
      </c>
      <c r="C75" s="10" t="n">
        <v>3</v>
      </c>
      <c r="D75" s="11" t="n">
        <v>46256</v>
      </c>
      <c r="E75" s="10" t="inlineStr">
        <is>
          <t>Saturday</t>
        </is>
      </c>
      <c r="F75" s="10" t="inlineStr">
        <is>
          <t>Farah</t>
        </is>
      </c>
      <c r="G75" s="10" t="inlineStr">
        <is>
          <t>Every case, every bottle, every SKU — accounted for.</t>
        </is>
      </c>
      <c r="H75" s="10" t="inlineStr">
        <is>
          <t>Inspire</t>
        </is>
      </c>
      <c r="I75" s="10" t="inlineStr">
        <is>
          <t>Static</t>
        </is>
      </c>
      <c r="J75" s="10" t="inlineStr">
        <is>
          <t>X</t>
        </is>
      </c>
      <c r="K75" s="10" t="inlineStr">
        <is>
          <t>Mirror</t>
        </is>
      </c>
      <c r="L75" s="10" t="inlineStr">
        <is>
          <t>Every case, every bottle, every SKU</t>
        </is>
      </c>
      <c r="M75" s="10" t="inlineStr">
        <is>
          <t>Book a demo</t>
        </is>
      </c>
      <c r="N75" s="10" t="inlineStr">
        <is>
          <t>No</t>
        </is>
      </c>
      <c r="O75" s="10" t="inlineStr">
        <is>
          <t>No</t>
        </is>
      </c>
      <c r="P75" s="10" t="inlineStr">
        <is>
          <t>Not started</t>
        </is>
      </c>
      <c r="Q75" s="10" t="inlineStr">
        <is>
          <t>Not started</t>
        </is>
      </c>
      <c r="R75" s="10" t="inlineStr"/>
      <c r="S75" s="10" t="inlineStr"/>
      <c r="T75" s="10" t="inlineStr"/>
      <c r="U75" s="10" t="n"/>
      <c r="V75" s="10">
        <f>IF(U75="","",IF(U75&gt;=70,"Pass","Hold"))</f>
        <v/>
      </c>
      <c r="W75" s="11" t="n">
        <v>46256</v>
      </c>
      <c r="X75" s="10" t="inlineStr">
        <is>
          <t>10:00 AM</t>
        </is>
      </c>
      <c r="Y75" s="10" t="inlineStr">
        <is>
          <t>Scheduled</t>
        </is>
      </c>
      <c r="Z75" s="11" t="n"/>
      <c r="AA75" s="10" t="inlineStr"/>
      <c r="AB75" s="10" t="inlineStr"/>
      <c r="AC75" s="10" t="n"/>
      <c r="AD75" s="10" t="n"/>
      <c r="AE75" s="10" t="n"/>
      <c r="AF75" s="10" t="n"/>
      <c r="AG75" s="10" t="n"/>
      <c r="AH75" s="10" t="n"/>
      <c r="AI75" s="10" t="n"/>
      <c r="AJ75" s="10" t="n"/>
      <c r="AK75" s="10" t="n"/>
      <c r="AL75" s="10" t="n"/>
      <c r="AM75" s="10" t="inlineStr">
        <is>
          <t>No</t>
        </is>
      </c>
      <c r="AN75" s="10" t="n"/>
      <c r="AO75" s="10" t="n"/>
      <c r="AP75" s="10">
        <f>IF(AND(AC75&lt;&gt;"",AO75&lt;&gt;"",AO75&gt;0),AC75/AO75,"")</f>
        <v/>
      </c>
      <c r="AQ75" s="10">
        <f>IF(AP75="","",IF(AP75&gt;=2,"A",IF(AP75&gt;=1.2,"B",IF(AP75&gt;=0.6,"C","D"))))</f>
        <v/>
      </c>
      <c r="AR75" s="10" t="inlineStr"/>
      <c r="AS75" s="11" t="inlineStr"/>
      <c r="AT75" s="10" t="inlineStr"/>
    </row>
    <row r="76">
      <c r="A76" s="10" t="inlineStr">
        <is>
          <t>W04-U1-LI</t>
        </is>
      </c>
      <c r="B76" s="10" t="inlineStr">
        <is>
          <t>W04-U1</t>
        </is>
      </c>
      <c r="C76" s="10" t="n">
        <v>4</v>
      </c>
      <c r="D76" s="11" t="n">
        <v>46258</v>
      </c>
      <c r="E76" s="10" t="inlineStr">
        <is>
          <t>Monday</t>
        </is>
      </c>
      <c r="F76" s="10" t="inlineStr">
        <is>
          <t>Danny</t>
        </is>
      </c>
      <c r="G76" s="10" t="inlineStr">
        <is>
          <t>Your regulars, remembered automatically.</t>
        </is>
      </c>
      <c r="H76" s="10" t="inlineStr">
        <is>
          <t>Educate</t>
        </is>
      </c>
      <c r="I76" s="10" t="inlineStr">
        <is>
          <t>Text</t>
        </is>
      </c>
      <c r="J76" s="10" t="inlineStr">
        <is>
          <t>LinkedIn</t>
        </is>
      </c>
      <c r="K76" s="10" t="inlineStr">
        <is>
          <t>Primary</t>
        </is>
      </c>
      <c r="L76" s="10" t="inlineStr">
        <is>
          <t>The real cost of a silent churned customer</t>
        </is>
      </c>
      <c r="M76" s="10" t="inlineStr">
        <is>
          <t>Read more (link)</t>
        </is>
      </c>
      <c r="N76" s="10" t="inlineStr">
        <is>
          <t>No</t>
        </is>
      </c>
      <c r="O76" s="10" t="inlineStr">
        <is>
          <t>No</t>
        </is>
      </c>
      <c r="P76" s="10" t="inlineStr">
        <is>
          <t>Not started</t>
        </is>
      </c>
      <c r="Q76" s="10" t="inlineStr">
        <is>
          <t>Not started</t>
        </is>
      </c>
      <c r="R76" s="10" t="inlineStr"/>
      <c r="S76" s="10" t="inlineStr"/>
      <c r="T76" s="10" t="inlineStr"/>
      <c r="U76" s="10" t="n"/>
      <c r="V76" s="10">
        <f>IF(U76="","",IF(U76&gt;=70,"Pass","Hold"))</f>
        <v/>
      </c>
      <c r="W76" s="11" t="n">
        <v>46258</v>
      </c>
      <c r="X76" s="10" t="inlineStr">
        <is>
          <t>10:00 AM</t>
        </is>
      </c>
      <c r="Y76" s="10" t="inlineStr">
        <is>
          <t>Scheduled</t>
        </is>
      </c>
      <c r="Z76" s="11" t="n"/>
      <c r="AA76" s="10" t="inlineStr"/>
      <c r="AB76" s="10" t="inlineStr"/>
      <c r="AC76" s="10" t="n"/>
      <c r="AD76" s="10" t="n"/>
      <c r="AE76" s="10" t="n"/>
      <c r="AF76" s="10" t="n"/>
      <c r="AG76" s="10" t="n"/>
      <c r="AH76" s="10" t="n"/>
      <c r="AI76" s="10" t="n"/>
      <c r="AJ76" s="10" t="n"/>
      <c r="AK76" s="10" t="n"/>
      <c r="AL76" s="10" t="n"/>
      <c r="AM76" s="10" t="inlineStr">
        <is>
          <t>No</t>
        </is>
      </c>
      <c r="AN76" s="10" t="n"/>
      <c r="AO76" s="10" t="n"/>
      <c r="AP76" s="10">
        <f>IF(AND(AC76&lt;&gt;"",AO76&lt;&gt;"",AO76&gt;0),AC76/AO76,"")</f>
        <v/>
      </c>
      <c r="AQ76" s="10">
        <f>IF(AP76="","",IF(AP76&gt;=2,"A",IF(AP76&gt;=1.2,"B",IF(AP76&gt;=0.6,"C","D"))))</f>
        <v/>
      </c>
      <c r="AR76" s="10" t="inlineStr"/>
      <c r="AS76" s="11" t="inlineStr"/>
      <c r="AT76" s="10" t="inlineStr"/>
    </row>
    <row r="77">
      <c r="A77" s="10" t="inlineStr">
        <is>
          <t>W04-U1-FA</t>
        </is>
      </c>
      <c r="B77" s="10" t="inlineStr">
        <is>
          <t>W04-U1</t>
        </is>
      </c>
      <c r="C77" s="10" t="n">
        <v>4</v>
      </c>
      <c r="D77" s="11" t="n">
        <v>46258</v>
      </c>
      <c r="E77" s="10" t="inlineStr">
        <is>
          <t>Monday</t>
        </is>
      </c>
      <c r="F77" s="10" t="inlineStr">
        <is>
          <t>Danny</t>
        </is>
      </c>
      <c r="G77" s="10" t="inlineStr">
        <is>
          <t>Your regulars, remembered automatically.</t>
        </is>
      </c>
      <c r="H77" s="10" t="inlineStr">
        <is>
          <t>Educate</t>
        </is>
      </c>
      <c r="I77" s="10" t="inlineStr">
        <is>
          <t>Text</t>
        </is>
      </c>
      <c r="J77" s="10" t="inlineStr">
        <is>
          <t>Facebook</t>
        </is>
      </c>
      <c r="K77" s="10" t="inlineStr">
        <is>
          <t>Primary</t>
        </is>
      </c>
      <c r="L77" s="10" t="inlineStr">
        <is>
          <t>The real cost of a silent churned customer</t>
        </is>
      </c>
      <c r="M77" s="10" t="inlineStr">
        <is>
          <t>Read more (link)</t>
        </is>
      </c>
      <c r="N77" s="10" t="inlineStr">
        <is>
          <t>No</t>
        </is>
      </c>
      <c r="O77" s="10" t="inlineStr">
        <is>
          <t>No</t>
        </is>
      </c>
      <c r="P77" s="10" t="inlineStr">
        <is>
          <t>Not started</t>
        </is>
      </c>
      <c r="Q77" s="10" t="inlineStr">
        <is>
          <t>Not started</t>
        </is>
      </c>
      <c r="R77" s="10" t="inlineStr"/>
      <c r="S77" s="10" t="inlineStr"/>
      <c r="T77" s="10" t="inlineStr"/>
      <c r="U77" s="10" t="n"/>
      <c r="V77" s="10">
        <f>IF(U77="","",IF(U77&gt;=70,"Pass","Hold"))</f>
        <v/>
      </c>
      <c r="W77" s="11" t="n">
        <v>46258</v>
      </c>
      <c r="X77" s="10" t="inlineStr">
        <is>
          <t>10:00 AM</t>
        </is>
      </c>
      <c r="Y77" s="10" t="inlineStr">
        <is>
          <t>Scheduled</t>
        </is>
      </c>
      <c r="Z77" s="11" t="n"/>
      <c r="AA77" s="10" t="inlineStr"/>
      <c r="AB77" s="10" t="inlineStr"/>
      <c r="AC77" s="10" t="n"/>
      <c r="AD77" s="10" t="n"/>
      <c r="AE77" s="10" t="n"/>
      <c r="AF77" s="10" t="n"/>
      <c r="AG77" s="10" t="n"/>
      <c r="AH77" s="10" t="n"/>
      <c r="AI77" s="10" t="n"/>
      <c r="AJ77" s="10" t="n"/>
      <c r="AK77" s="10" t="n"/>
      <c r="AL77" s="10" t="n"/>
      <c r="AM77" s="10" t="inlineStr">
        <is>
          <t>No</t>
        </is>
      </c>
      <c r="AN77" s="10" t="n"/>
      <c r="AO77" s="10" t="n"/>
      <c r="AP77" s="10">
        <f>IF(AND(AC77&lt;&gt;"",AO77&lt;&gt;"",AO77&gt;0),AC77/AO77,"")</f>
        <v/>
      </c>
      <c r="AQ77" s="10">
        <f>IF(AP77="","",IF(AP77&gt;=2,"A",IF(AP77&gt;=1.2,"B",IF(AP77&gt;=0.6,"C","D"))))</f>
        <v/>
      </c>
      <c r="AR77" s="10" t="inlineStr"/>
      <c r="AS77" s="11" t="inlineStr"/>
      <c r="AT77" s="10" t="inlineStr"/>
    </row>
    <row r="78">
      <c r="A78" s="10" t="inlineStr">
        <is>
          <t>W04-U1-BL</t>
        </is>
      </c>
      <c r="B78" s="10" t="inlineStr">
        <is>
          <t>W04-U1</t>
        </is>
      </c>
      <c r="C78" s="10" t="n">
        <v>4</v>
      </c>
      <c r="D78" s="11" t="n">
        <v>46258</v>
      </c>
      <c r="E78" s="10" t="inlineStr">
        <is>
          <t>Monday</t>
        </is>
      </c>
      <c r="F78" s="10" t="inlineStr">
        <is>
          <t>Danny</t>
        </is>
      </c>
      <c r="G78" s="10" t="inlineStr">
        <is>
          <t>Your regulars, remembered automatically.</t>
        </is>
      </c>
      <c r="H78" s="10" t="inlineStr">
        <is>
          <t>Educate</t>
        </is>
      </c>
      <c r="I78" s="10" t="inlineStr">
        <is>
          <t>Text</t>
        </is>
      </c>
      <c r="J78" s="10" t="inlineStr">
        <is>
          <t>Blog/SEO</t>
        </is>
      </c>
      <c r="K78" s="10" t="inlineStr">
        <is>
          <t>Primary</t>
        </is>
      </c>
      <c r="L78" s="10" t="inlineStr">
        <is>
          <t>The real cost of a silent churned customer</t>
        </is>
      </c>
      <c r="M78" s="10" t="inlineStr">
        <is>
          <t>Read more (link)</t>
        </is>
      </c>
      <c r="N78" s="10" t="inlineStr">
        <is>
          <t>No</t>
        </is>
      </c>
      <c r="O78" s="10" t="inlineStr">
        <is>
          <t>No</t>
        </is>
      </c>
      <c r="P78" s="10" t="inlineStr">
        <is>
          <t>Not started</t>
        </is>
      </c>
      <c r="Q78" s="10" t="inlineStr">
        <is>
          <t>Not started</t>
        </is>
      </c>
      <c r="R78" s="10" t="inlineStr"/>
      <c r="S78" s="10" t="inlineStr"/>
      <c r="T78" s="10" t="inlineStr"/>
      <c r="U78" s="10" t="n"/>
      <c r="V78" s="10">
        <f>IF(U78="","",IF(U78&gt;=70,"Pass","Hold"))</f>
        <v/>
      </c>
      <c r="W78" s="11" t="n">
        <v>46258</v>
      </c>
      <c r="X78" s="10" t="inlineStr">
        <is>
          <t>10:00 AM</t>
        </is>
      </c>
      <c r="Y78" s="10" t="inlineStr">
        <is>
          <t>Scheduled</t>
        </is>
      </c>
      <c r="Z78" s="11" t="n"/>
      <c r="AA78" s="10" t="inlineStr"/>
      <c r="AB78" s="10" t="inlineStr"/>
      <c r="AC78" s="10" t="n"/>
      <c r="AD78" s="10" t="n"/>
      <c r="AE78" s="10" t="n"/>
      <c r="AF78" s="10" t="n"/>
      <c r="AG78" s="10" t="n"/>
      <c r="AH78" s="10" t="n"/>
      <c r="AI78" s="10" t="n"/>
      <c r="AJ78" s="10" t="n"/>
      <c r="AK78" s="10" t="n"/>
      <c r="AL78" s="10" t="n"/>
      <c r="AM78" s="10" t="inlineStr">
        <is>
          <t>No</t>
        </is>
      </c>
      <c r="AN78" s="10" t="n"/>
      <c r="AO78" s="10" t="n"/>
      <c r="AP78" s="10">
        <f>IF(AND(AC78&lt;&gt;"",AO78&lt;&gt;"",AO78&gt;0),AC78/AO78,"")</f>
        <v/>
      </c>
      <c r="AQ78" s="10">
        <f>IF(AP78="","",IF(AP78&gt;=2,"A",IF(AP78&gt;=1.2,"B",IF(AP78&gt;=0.6,"C","D"))))</f>
        <v/>
      </c>
      <c r="AR78" s="10" t="inlineStr"/>
      <c r="AS78" s="11" t="inlineStr"/>
      <c r="AT78" s="10" t="inlineStr"/>
    </row>
    <row r="79">
      <c r="A79" s="10" t="inlineStr">
        <is>
          <t>W04-U1-X</t>
        </is>
      </c>
      <c r="B79" s="10" t="inlineStr">
        <is>
          <t>W04-U1</t>
        </is>
      </c>
      <c r="C79" s="10" t="n">
        <v>4</v>
      </c>
      <c r="D79" s="11" t="n">
        <v>46258</v>
      </c>
      <c r="E79" s="10" t="inlineStr">
        <is>
          <t>Monday</t>
        </is>
      </c>
      <c r="F79" s="10" t="inlineStr">
        <is>
          <t>Danny</t>
        </is>
      </c>
      <c r="G79" s="10" t="inlineStr">
        <is>
          <t>Your regulars, remembered automatically.</t>
        </is>
      </c>
      <c r="H79" s="10" t="inlineStr">
        <is>
          <t>Educate</t>
        </is>
      </c>
      <c r="I79" s="10" t="inlineStr">
        <is>
          <t>Text</t>
        </is>
      </c>
      <c r="J79" s="10" t="inlineStr">
        <is>
          <t>X</t>
        </is>
      </c>
      <c r="K79" s="10" t="inlineStr">
        <is>
          <t>Mirror</t>
        </is>
      </c>
      <c r="L79" s="10" t="inlineStr">
        <is>
          <t>The real cost of a silent churned customer</t>
        </is>
      </c>
      <c r="M79" s="10" t="inlineStr">
        <is>
          <t>Read more (link)</t>
        </is>
      </c>
      <c r="N79" s="10" t="inlineStr">
        <is>
          <t>No</t>
        </is>
      </c>
      <c r="O79" s="10" t="inlineStr">
        <is>
          <t>No</t>
        </is>
      </c>
      <c r="P79" s="10" t="inlineStr">
        <is>
          <t>Not started</t>
        </is>
      </c>
      <c r="Q79" s="10" t="inlineStr">
        <is>
          <t>Not started</t>
        </is>
      </c>
      <c r="R79" s="10" t="inlineStr"/>
      <c r="S79" s="10" t="inlineStr"/>
      <c r="T79" s="10" t="inlineStr"/>
      <c r="U79" s="10" t="n"/>
      <c r="V79" s="10">
        <f>IF(U79="","",IF(U79&gt;=70,"Pass","Hold"))</f>
        <v/>
      </c>
      <c r="W79" s="11" t="n">
        <v>46258</v>
      </c>
      <c r="X79" s="10" t="inlineStr">
        <is>
          <t>10:00 AM</t>
        </is>
      </c>
      <c r="Y79" s="10" t="inlineStr">
        <is>
          <t>Scheduled</t>
        </is>
      </c>
      <c r="Z79" s="11" t="n"/>
      <c r="AA79" s="10" t="inlineStr"/>
      <c r="AB79" s="10" t="inlineStr"/>
      <c r="AC79" s="10" t="n"/>
      <c r="AD79" s="10" t="n"/>
      <c r="AE79" s="10" t="n"/>
      <c r="AF79" s="10" t="n"/>
      <c r="AG79" s="10" t="n"/>
      <c r="AH79" s="10" t="n"/>
      <c r="AI79" s="10" t="n"/>
      <c r="AJ79" s="10" t="n"/>
      <c r="AK79" s="10" t="n"/>
      <c r="AL79" s="10" t="n"/>
      <c r="AM79" s="10" t="inlineStr">
        <is>
          <t>No</t>
        </is>
      </c>
      <c r="AN79" s="10" t="n"/>
      <c r="AO79" s="10" t="n"/>
      <c r="AP79" s="10">
        <f>IF(AND(AC79&lt;&gt;"",AO79&lt;&gt;"",AO79&gt;0),AC79/AO79,"")</f>
        <v/>
      </c>
      <c r="AQ79" s="10">
        <f>IF(AP79="","",IF(AP79&gt;=2,"A",IF(AP79&gt;=1.2,"B",IF(AP79&gt;=0.6,"C","D"))))</f>
        <v/>
      </c>
      <c r="AR79" s="10" t="inlineStr"/>
      <c r="AS79" s="11" t="inlineStr"/>
      <c r="AT79" s="10" t="inlineStr"/>
    </row>
    <row r="80">
      <c r="A80" s="10" t="inlineStr">
        <is>
          <t>W04-U2-IN</t>
        </is>
      </c>
      <c r="B80" s="10" t="inlineStr">
        <is>
          <t>W04-U2</t>
        </is>
      </c>
      <c r="C80" s="10" t="n">
        <v>4</v>
      </c>
      <c r="D80" s="11" t="n">
        <v>46259</v>
      </c>
      <c r="E80" s="10" t="inlineStr">
        <is>
          <t>Tuesday</t>
        </is>
      </c>
      <c r="F80" s="10" t="inlineStr">
        <is>
          <t>Danny</t>
        </is>
      </c>
      <c r="G80" s="10" t="inlineStr">
        <is>
          <t>Your regulars, remembered automatically.</t>
        </is>
      </c>
      <c r="H80" s="10" t="inlineStr">
        <is>
          <t>Educate</t>
        </is>
      </c>
      <c r="I80" s="10" t="inlineStr">
        <is>
          <t>Carousel</t>
        </is>
      </c>
      <c r="J80" s="10" t="inlineStr">
        <is>
          <t>Instagram</t>
        </is>
      </c>
      <c r="K80" s="10" t="inlineStr">
        <is>
          <t>Primary</t>
        </is>
      </c>
      <c r="L80" s="10" t="inlineStr">
        <is>
          <t>Win-back, automatically</t>
        </is>
      </c>
      <c r="M80" s="10" t="inlineStr">
        <is>
          <t>Book a demo</t>
        </is>
      </c>
      <c r="N80" s="10" t="inlineStr">
        <is>
          <t>No</t>
        </is>
      </c>
      <c r="O80" s="10" t="inlineStr">
        <is>
          <t>No</t>
        </is>
      </c>
      <c r="P80" s="10" t="inlineStr">
        <is>
          <t>Not started</t>
        </is>
      </c>
      <c r="Q80" s="10" t="inlineStr">
        <is>
          <t>Not started</t>
        </is>
      </c>
      <c r="R80" s="10" t="inlineStr"/>
      <c r="S80" s="10" t="inlineStr"/>
      <c r="T80" s="10" t="inlineStr"/>
      <c r="U80" s="10" t="n"/>
      <c r="V80" s="10">
        <f>IF(U80="","",IF(U80&gt;=70,"Pass","Hold"))</f>
        <v/>
      </c>
      <c r="W80" s="11" t="n">
        <v>46259</v>
      </c>
      <c r="X80" s="10" t="inlineStr">
        <is>
          <t>10:00 AM</t>
        </is>
      </c>
      <c r="Y80" s="10" t="inlineStr">
        <is>
          <t>Scheduled</t>
        </is>
      </c>
      <c r="Z80" s="11" t="n"/>
      <c r="AA80" s="10" t="inlineStr"/>
      <c r="AB80" s="10" t="inlineStr"/>
      <c r="AC80" s="10" t="n"/>
      <c r="AD80" s="10" t="n"/>
      <c r="AE80" s="10" t="n"/>
      <c r="AF80" s="10" t="n"/>
      <c r="AG80" s="10" t="n"/>
      <c r="AH80" s="10" t="n"/>
      <c r="AI80" s="10" t="n"/>
      <c r="AJ80" s="10" t="n"/>
      <c r="AK80" s="10" t="n"/>
      <c r="AL80" s="10" t="n"/>
      <c r="AM80" s="10" t="inlineStr">
        <is>
          <t>No</t>
        </is>
      </c>
      <c r="AN80" s="10" t="n"/>
      <c r="AO80" s="10" t="n"/>
      <c r="AP80" s="10">
        <f>IF(AND(AC80&lt;&gt;"",AO80&lt;&gt;"",AO80&gt;0),AC80/AO80,"")</f>
        <v/>
      </c>
      <c r="AQ80" s="10">
        <f>IF(AP80="","",IF(AP80&gt;=2,"A",IF(AP80&gt;=1.2,"B",IF(AP80&gt;=0.6,"C","D"))))</f>
        <v/>
      </c>
      <c r="AR80" s="10" t="inlineStr"/>
      <c r="AS80" s="11" t="inlineStr"/>
      <c r="AT80" s="10" t="inlineStr"/>
    </row>
    <row r="81">
      <c r="A81" s="10" t="inlineStr">
        <is>
          <t>W04-U2-FA</t>
        </is>
      </c>
      <c r="B81" s="10" t="inlineStr">
        <is>
          <t>W04-U2</t>
        </is>
      </c>
      <c r="C81" s="10" t="n">
        <v>4</v>
      </c>
      <c r="D81" s="11" t="n">
        <v>46259</v>
      </c>
      <c r="E81" s="10" t="inlineStr">
        <is>
          <t>Tuesday</t>
        </is>
      </c>
      <c r="F81" s="10" t="inlineStr">
        <is>
          <t>Danny</t>
        </is>
      </c>
      <c r="G81" s="10" t="inlineStr">
        <is>
          <t>Your regulars, remembered automatically.</t>
        </is>
      </c>
      <c r="H81" s="10" t="inlineStr">
        <is>
          <t>Educate</t>
        </is>
      </c>
      <c r="I81" s="10" t="inlineStr">
        <is>
          <t>Carousel</t>
        </is>
      </c>
      <c r="J81" s="10" t="inlineStr">
        <is>
          <t>Facebook</t>
        </is>
      </c>
      <c r="K81" s="10" t="inlineStr">
        <is>
          <t>Mirror</t>
        </is>
      </c>
      <c r="L81" s="10" t="inlineStr">
        <is>
          <t>Win-back, automatically</t>
        </is>
      </c>
      <c r="M81" s="10" t="inlineStr">
        <is>
          <t>Book a demo</t>
        </is>
      </c>
      <c r="N81" s="10" t="inlineStr">
        <is>
          <t>No</t>
        </is>
      </c>
      <c r="O81" s="10" t="inlineStr">
        <is>
          <t>No</t>
        </is>
      </c>
      <c r="P81" s="10" t="inlineStr">
        <is>
          <t>Not started</t>
        </is>
      </c>
      <c r="Q81" s="10" t="inlineStr">
        <is>
          <t>Not started</t>
        </is>
      </c>
      <c r="R81" s="10" t="inlineStr"/>
      <c r="S81" s="10" t="inlineStr"/>
      <c r="T81" s="10" t="inlineStr"/>
      <c r="U81" s="10" t="n"/>
      <c r="V81" s="10">
        <f>IF(U81="","",IF(U81&gt;=70,"Pass","Hold"))</f>
        <v/>
      </c>
      <c r="W81" s="11" t="n">
        <v>46259</v>
      </c>
      <c r="X81" s="10" t="inlineStr">
        <is>
          <t>10:00 AM</t>
        </is>
      </c>
      <c r="Y81" s="10" t="inlineStr">
        <is>
          <t>Scheduled</t>
        </is>
      </c>
      <c r="Z81" s="11" t="n"/>
      <c r="AA81" s="10" t="inlineStr"/>
      <c r="AB81" s="10" t="inlineStr"/>
      <c r="AC81" s="10" t="n"/>
      <c r="AD81" s="10" t="n"/>
      <c r="AE81" s="10" t="n"/>
      <c r="AF81" s="10" t="n"/>
      <c r="AG81" s="10" t="n"/>
      <c r="AH81" s="10" t="n"/>
      <c r="AI81" s="10" t="n"/>
      <c r="AJ81" s="10" t="n"/>
      <c r="AK81" s="10" t="n"/>
      <c r="AL81" s="10" t="n"/>
      <c r="AM81" s="10" t="inlineStr">
        <is>
          <t>No</t>
        </is>
      </c>
      <c r="AN81" s="10" t="n"/>
      <c r="AO81" s="10" t="n"/>
      <c r="AP81" s="10">
        <f>IF(AND(AC81&lt;&gt;"",AO81&lt;&gt;"",AO81&gt;0),AC81/AO81,"")</f>
        <v/>
      </c>
      <c r="AQ81" s="10">
        <f>IF(AP81="","",IF(AP81&gt;=2,"A",IF(AP81&gt;=1.2,"B",IF(AP81&gt;=0.6,"C","D"))))</f>
        <v/>
      </c>
      <c r="AR81" s="10" t="inlineStr"/>
      <c r="AS81" s="11" t="inlineStr"/>
      <c r="AT81" s="10" t="inlineStr"/>
    </row>
    <row r="82">
      <c r="A82" s="10" t="inlineStr">
        <is>
          <t>W04-U2-LI</t>
        </is>
      </c>
      <c r="B82" s="10" t="inlineStr">
        <is>
          <t>W04-U2</t>
        </is>
      </c>
      <c r="C82" s="10" t="n">
        <v>4</v>
      </c>
      <c r="D82" s="11" t="n">
        <v>46259</v>
      </c>
      <c r="E82" s="10" t="inlineStr">
        <is>
          <t>Tuesday</t>
        </is>
      </c>
      <c r="F82" s="10" t="inlineStr">
        <is>
          <t>Danny</t>
        </is>
      </c>
      <c r="G82" s="10" t="inlineStr">
        <is>
          <t>Your regulars, remembered automatically.</t>
        </is>
      </c>
      <c r="H82" s="10" t="inlineStr">
        <is>
          <t>Educate</t>
        </is>
      </c>
      <c r="I82" s="10" t="inlineStr">
        <is>
          <t>Carousel</t>
        </is>
      </c>
      <c r="J82" s="10" t="inlineStr">
        <is>
          <t>LinkedIn</t>
        </is>
      </c>
      <c r="K82" s="10" t="inlineStr">
        <is>
          <t>Adapted</t>
        </is>
      </c>
      <c r="L82" s="10" t="inlineStr">
        <is>
          <t>Win-back, automatically</t>
        </is>
      </c>
      <c r="M82" s="10" t="inlineStr">
        <is>
          <t>Book a demo</t>
        </is>
      </c>
      <c r="N82" s="10" t="inlineStr">
        <is>
          <t>No</t>
        </is>
      </c>
      <c r="O82" s="10" t="inlineStr">
        <is>
          <t>No</t>
        </is>
      </c>
      <c r="P82" s="10" t="inlineStr">
        <is>
          <t>Not started</t>
        </is>
      </c>
      <c r="Q82" s="10" t="inlineStr">
        <is>
          <t>Not started</t>
        </is>
      </c>
      <c r="R82" s="10" t="inlineStr"/>
      <c r="S82" s="10" t="inlineStr"/>
      <c r="T82" s="10" t="inlineStr"/>
      <c r="U82" s="10" t="n"/>
      <c r="V82" s="10">
        <f>IF(U82="","",IF(U82&gt;=70,"Pass","Hold"))</f>
        <v/>
      </c>
      <c r="W82" s="11" t="n">
        <v>46259</v>
      </c>
      <c r="X82" s="10" t="inlineStr">
        <is>
          <t>10:00 AM</t>
        </is>
      </c>
      <c r="Y82" s="10" t="inlineStr">
        <is>
          <t>Scheduled</t>
        </is>
      </c>
      <c r="Z82" s="11" t="n"/>
      <c r="AA82" s="10" t="inlineStr"/>
      <c r="AB82" s="10" t="inlineStr"/>
      <c r="AC82" s="10" t="n"/>
      <c r="AD82" s="10" t="n"/>
      <c r="AE82" s="10" t="n"/>
      <c r="AF82" s="10" t="n"/>
      <c r="AG82" s="10" t="n"/>
      <c r="AH82" s="10" t="n"/>
      <c r="AI82" s="10" t="n"/>
      <c r="AJ82" s="10" t="n"/>
      <c r="AK82" s="10" t="n"/>
      <c r="AL82" s="10" t="n"/>
      <c r="AM82" s="10" t="inlineStr">
        <is>
          <t>No</t>
        </is>
      </c>
      <c r="AN82" s="10" t="n"/>
      <c r="AO82" s="10" t="n"/>
      <c r="AP82" s="10">
        <f>IF(AND(AC82&lt;&gt;"",AO82&lt;&gt;"",AO82&gt;0),AC82/AO82,"")</f>
        <v/>
      </c>
      <c r="AQ82" s="10">
        <f>IF(AP82="","",IF(AP82&gt;=2,"A",IF(AP82&gt;=1.2,"B",IF(AP82&gt;=0.6,"C","D"))))</f>
        <v/>
      </c>
      <c r="AR82" s="10" t="inlineStr"/>
      <c r="AS82" s="11" t="inlineStr"/>
      <c r="AT82" s="10" t="inlineStr"/>
    </row>
    <row r="83">
      <c r="A83" s="10" t="inlineStr">
        <is>
          <t>W04-U3-TI</t>
        </is>
      </c>
      <c r="B83" s="10" t="inlineStr">
        <is>
          <t>W04-U3</t>
        </is>
      </c>
      <c r="C83" s="10" t="n">
        <v>4</v>
      </c>
      <c r="D83" s="11" t="n">
        <v>46260</v>
      </c>
      <c r="E83" s="10" t="inlineStr">
        <is>
          <t>Wednesday</t>
        </is>
      </c>
      <c r="F83" s="10" t="inlineStr">
        <is>
          <t>Danny</t>
        </is>
      </c>
      <c r="G83" s="10" t="inlineStr">
        <is>
          <t>Your regulars, remembered automatically.</t>
        </is>
      </c>
      <c r="H83" s="10" t="inlineStr">
        <is>
          <t>Inspire</t>
        </is>
      </c>
      <c r="I83" s="10" t="inlineStr">
        <is>
          <t>Video</t>
        </is>
      </c>
      <c r="J83" s="10" t="inlineStr">
        <is>
          <t>TikTok</t>
        </is>
      </c>
      <c r="K83" s="10" t="inlineStr">
        <is>
          <t>Primary</t>
        </is>
      </c>
      <c r="L83" s="10" t="inlineStr">
        <is>
          <t>The regular who stopped coming</t>
        </is>
      </c>
      <c r="M83" s="10" t="inlineStr">
        <is>
          <t>Book a demo</t>
        </is>
      </c>
      <c r="N83" s="10" t="inlineStr">
        <is>
          <t>No</t>
        </is>
      </c>
      <c r="O83" s="10" t="inlineStr">
        <is>
          <t>No</t>
        </is>
      </c>
      <c r="P83" s="10" t="inlineStr">
        <is>
          <t>Not started</t>
        </is>
      </c>
      <c r="Q83" s="10" t="inlineStr">
        <is>
          <t>Not started</t>
        </is>
      </c>
      <c r="R83" s="10" t="inlineStr"/>
      <c r="S83" s="10" t="inlineStr"/>
      <c r="T83" s="10" t="inlineStr"/>
      <c r="U83" s="10" t="n"/>
      <c r="V83" s="10">
        <f>IF(U83="","",IF(U83&gt;=70,"Pass","Hold"))</f>
        <v/>
      </c>
      <c r="W83" s="11" t="n">
        <v>46260</v>
      </c>
      <c r="X83" s="10" t="inlineStr">
        <is>
          <t>10:00 AM</t>
        </is>
      </c>
      <c r="Y83" s="10" t="inlineStr">
        <is>
          <t>Scheduled</t>
        </is>
      </c>
      <c r="Z83" s="11" t="n"/>
      <c r="AA83" s="10" t="inlineStr"/>
      <c r="AB83" s="10" t="inlineStr"/>
      <c r="AC83" s="10" t="n"/>
      <c r="AD83" s="10" t="n"/>
      <c r="AE83" s="10" t="n"/>
      <c r="AF83" s="10" t="n"/>
      <c r="AG83" s="10" t="n"/>
      <c r="AH83" s="10" t="n"/>
      <c r="AI83" s="10" t="n"/>
      <c r="AJ83" s="10" t="n"/>
      <c r="AK83" s="10" t="n"/>
      <c r="AL83" s="10" t="n"/>
      <c r="AM83" s="10" t="inlineStr">
        <is>
          <t>No</t>
        </is>
      </c>
      <c r="AN83" s="10" t="n"/>
      <c r="AO83" s="10" t="n"/>
      <c r="AP83" s="10">
        <f>IF(AND(AC83&lt;&gt;"",AO83&lt;&gt;"",AO83&gt;0),AC83/AO83,"")</f>
        <v/>
      </c>
      <c r="AQ83" s="10">
        <f>IF(AP83="","",IF(AP83&gt;=2,"A",IF(AP83&gt;=1.2,"B",IF(AP83&gt;=0.6,"C","D"))))</f>
        <v/>
      </c>
      <c r="AR83" s="10" t="inlineStr"/>
      <c r="AS83" s="11" t="inlineStr"/>
      <c r="AT83" s="10" t="inlineStr"/>
    </row>
    <row r="84">
      <c r="A84" s="10" t="inlineStr">
        <is>
          <t>W04-U3-IN</t>
        </is>
      </c>
      <c r="B84" s="10" t="inlineStr">
        <is>
          <t>W04-U3</t>
        </is>
      </c>
      <c r="C84" s="10" t="n">
        <v>4</v>
      </c>
      <c r="D84" s="11" t="n">
        <v>46260</v>
      </c>
      <c r="E84" s="10" t="inlineStr">
        <is>
          <t>Wednesday</t>
        </is>
      </c>
      <c r="F84" s="10" t="inlineStr">
        <is>
          <t>Danny</t>
        </is>
      </c>
      <c r="G84" s="10" t="inlineStr">
        <is>
          <t>Your regulars, remembered automatically.</t>
        </is>
      </c>
      <c r="H84" s="10" t="inlineStr">
        <is>
          <t>Inspire</t>
        </is>
      </c>
      <c r="I84" s="10" t="inlineStr">
        <is>
          <t>Video</t>
        </is>
      </c>
      <c r="J84" s="10" t="inlineStr">
        <is>
          <t>Instagram</t>
        </is>
      </c>
      <c r="K84" s="10" t="inlineStr">
        <is>
          <t>Mirror</t>
        </is>
      </c>
      <c r="L84" s="10" t="inlineStr">
        <is>
          <t>The regular who stopped coming</t>
        </is>
      </c>
      <c r="M84" s="10" t="inlineStr">
        <is>
          <t>Book a demo</t>
        </is>
      </c>
      <c r="N84" s="10" t="inlineStr">
        <is>
          <t>No</t>
        </is>
      </c>
      <c r="O84" s="10" t="inlineStr">
        <is>
          <t>No</t>
        </is>
      </c>
      <c r="P84" s="10" t="inlineStr">
        <is>
          <t>Not started</t>
        </is>
      </c>
      <c r="Q84" s="10" t="inlineStr">
        <is>
          <t>Not started</t>
        </is>
      </c>
      <c r="R84" s="10" t="inlineStr"/>
      <c r="S84" s="10" t="inlineStr"/>
      <c r="T84" s="10" t="inlineStr"/>
      <c r="U84" s="10" t="n"/>
      <c r="V84" s="10">
        <f>IF(U84="","",IF(U84&gt;=70,"Pass","Hold"))</f>
        <v/>
      </c>
      <c r="W84" s="11" t="n">
        <v>46260</v>
      </c>
      <c r="X84" s="10" t="inlineStr">
        <is>
          <t>10:00 AM</t>
        </is>
      </c>
      <c r="Y84" s="10" t="inlineStr">
        <is>
          <t>Scheduled</t>
        </is>
      </c>
      <c r="Z84" s="11" t="n"/>
      <c r="AA84" s="10" t="inlineStr"/>
      <c r="AB84" s="10" t="inlineStr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inlineStr">
        <is>
          <t>No</t>
        </is>
      </c>
      <c r="AN84" s="10" t="n"/>
      <c r="AO84" s="10" t="n"/>
      <c r="AP84" s="10">
        <f>IF(AND(AC84&lt;&gt;"",AO84&lt;&gt;"",AO84&gt;0),AC84/AO84,"")</f>
        <v/>
      </c>
      <c r="AQ84" s="10">
        <f>IF(AP84="","",IF(AP84&gt;=2,"A",IF(AP84&gt;=1.2,"B",IF(AP84&gt;=0.6,"C","D"))))</f>
        <v/>
      </c>
      <c r="AR84" s="10" t="inlineStr"/>
      <c r="AS84" s="11" t="inlineStr"/>
      <c r="AT84" s="10" t="inlineStr"/>
    </row>
    <row r="85">
      <c r="A85" s="10" t="inlineStr">
        <is>
          <t>W04-U4-LI</t>
        </is>
      </c>
      <c r="B85" s="10" t="inlineStr">
        <is>
          <t>W04-U4</t>
        </is>
      </c>
      <c r="C85" s="10" t="n">
        <v>4</v>
      </c>
      <c r="D85" s="11" t="n">
        <v>46261</v>
      </c>
      <c r="E85" s="10" t="inlineStr">
        <is>
          <t>Thursday</t>
        </is>
      </c>
      <c r="F85" s="10" t="inlineStr">
        <is>
          <t>Danny</t>
        </is>
      </c>
      <c r="G85" s="10" t="inlineStr">
        <is>
          <t>Your regulars, remembered automatically.</t>
        </is>
      </c>
      <c r="H85" s="10" t="inlineStr">
        <is>
          <t>Educate</t>
        </is>
      </c>
      <c r="I85" s="10" t="inlineStr">
        <is>
          <t>Static</t>
        </is>
      </c>
      <c r="J85" s="10" t="inlineStr">
        <is>
          <t>LinkedIn</t>
        </is>
      </c>
      <c r="K85" s="10" t="inlineStr">
        <is>
          <t>Primary</t>
        </is>
      </c>
      <c r="L85" s="10" t="inlineStr">
        <is>
          <t>95% return after visit four</t>
        </is>
      </c>
      <c r="M85" s="10" t="inlineStr">
        <is>
          <t>Book a demo</t>
        </is>
      </c>
      <c r="N85" s="10" t="inlineStr">
        <is>
          <t>No</t>
        </is>
      </c>
      <c r="O85" s="10" t="inlineStr">
        <is>
          <t>No</t>
        </is>
      </c>
      <c r="P85" s="10" t="inlineStr">
        <is>
          <t>Not started</t>
        </is>
      </c>
      <c r="Q85" s="10" t="inlineStr">
        <is>
          <t>Not started</t>
        </is>
      </c>
      <c r="R85" s="10" t="inlineStr"/>
      <c r="S85" s="10" t="inlineStr"/>
      <c r="T85" s="10" t="inlineStr"/>
      <c r="U85" s="10" t="n"/>
      <c r="V85" s="10">
        <f>IF(U85="","",IF(U85&gt;=70,"Pass","Hold"))</f>
        <v/>
      </c>
      <c r="W85" s="11" t="n">
        <v>46261</v>
      </c>
      <c r="X85" s="10" t="inlineStr">
        <is>
          <t>10:00 AM</t>
        </is>
      </c>
      <c r="Y85" s="10" t="inlineStr">
        <is>
          <t>Scheduled</t>
        </is>
      </c>
      <c r="Z85" s="11" t="n"/>
      <c r="AA85" s="10" t="inlineStr"/>
      <c r="AB85" s="10" t="inlineStr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inlineStr">
        <is>
          <t>No</t>
        </is>
      </c>
      <c r="AN85" s="10" t="n"/>
      <c r="AO85" s="10" t="n"/>
      <c r="AP85" s="10">
        <f>IF(AND(AC85&lt;&gt;"",AO85&lt;&gt;"",AO85&gt;0),AC85/AO85,"")</f>
        <v/>
      </c>
      <c r="AQ85" s="10">
        <f>IF(AP85="","",IF(AP85&gt;=2,"A",IF(AP85&gt;=1.2,"B",IF(AP85&gt;=0.6,"C","D"))))</f>
        <v/>
      </c>
      <c r="AR85" s="10" t="inlineStr"/>
      <c r="AS85" s="11" t="inlineStr"/>
      <c r="AT85" s="10" t="inlineStr"/>
    </row>
    <row r="86">
      <c r="A86" s="10" t="inlineStr">
        <is>
          <t>W04-U4-FA</t>
        </is>
      </c>
      <c r="B86" s="10" t="inlineStr">
        <is>
          <t>W04-U4</t>
        </is>
      </c>
      <c r="C86" s="10" t="n">
        <v>4</v>
      </c>
      <c r="D86" s="11" t="n">
        <v>46261</v>
      </c>
      <c r="E86" s="10" t="inlineStr">
        <is>
          <t>Thursday</t>
        </is>
      </c>
      <c r="F86" s="10" t="inlineStr">
        <is>
          <t>Danny</t>
        </is>
      </c>
      <c r="G86" s="10" t="inlineStr">
        <is>
          <t>Your regulars, remembered automatically.</t>
        </is>
      </c>
      <c r="H86" s="10" t="inlineStr">
        <is>
          <t>Educate</t>
        </is>
      </c>
      <c r="I86" s="10" t="inlineStr">
        <is>
          <t>Static</t>
        </is>
      </c>
      <c r="J86" s="10" t="inlineStr">
        <is>
          <t>Facebook</t>
        </is>
      </c>
      <c r="K86" s="10" t="inlineStr">
        <is>
          <t>Mirror</t>
        </is>
      </c>
      <c r="L86" s="10" t="inlineStr">
        <is>
          <t>95% return after visit four</t>
        </is>
      </c>
      <c r="M86" s="10" t="inlineStr">
        <is>
          <t>Book a demo</t>
        </is>
      </c>
      <c r="N86" s="10" t="inlineStr">
        <is>
          <t>No</t>
        </is>
      </c>
      <c r="O86" s="10" t="inlineStr">
        <is>
          <t>No</t>
        </is>
      </c>
      <c r="P86" s="10" t="inlineStr">
        <is>
          <t>Not started</t>
        </is>
      </c>
      <c r="Q86" s="10" t="inlineStr">
        <is>
          <t>Not started</t>
        </is>
      </c>
      <c r="R86" s="10" t="inlineStr"/>
      <c r="S86" s="10" t="inlineStr"/>
      <c r="T86" s="10" t="inlineStr"/>
      <c r="U86" s="10" t="n"/>
      <c r="V86" s="10">
        <f>IF(U86="","",IF(U86&gt;=70,"Pass","Hold"))</f>
        <v/>
      </c>
      <c r="W86" s="11" t="n">
        <v>46261</v>
      </c>
      <c r="X86" s="10" t="inlineStr">
        <is>
          <t>10:00 AM</t>
        </is>
      </c>
      <c r="Y86" s="10" t="inlineStr">
        <is>
          <t>Scheduled</t>
        </is>
      </c>
      <c r="Z86" s="11" t="n"/>
      <c r="AA86" s="10" t="inlineStr"/>
      <c r="AB86" s="10" t="inlineStr"/>
      <c r="AC86" s="10" t="n"/>
      <c r="AD86" s="10" t="n"/>
      <c r="AE86" s="10" t="n"/>
      <c r="AF86" s="10" t="n"/>
      <c r="AG86" s="10" t="n"/>
      <c r="AH86" s="10" t="n"/>
      <c r="AI86" s="10" t="n"/>
      <c r="AJ86" s="10" t="n"/>
      <c r="AK86" s="10" t="n"/>
      <c r="AL86" s="10" t="n"/>
      <c r="AM86" s="10" t="inlineStr">
        <is>
          <t>No</t>
        </is>
      </c>
      <c r="AN86" s="10" t="n"/>
      <c r="AO86" s="10" t="n"/>
      <c r="AP86" s="10">
        <f>IF(AND(AC86&lt;&gt;"",AO86&lt;&gt;"",AO86&gt;0),AC86/AO86,"")</f>
        <v/>
      </c>
      <c r="AQ86" s="10">
        <f>IF(AP86="","",IF(AP86&gt;=2,"A",IF(AP86&gt;=1.2,"B",IF(AP86&gt;=0.6,"C","D"))))</f>
        <v/>
      </c>
      <c r="AR86" s="10" t="inlineStr"/>
      <c r="AS86" s="11" t="inlineStr"/>
      <c r="AT86" s="10" t="inlineStr"/>
    </row>
    <row r="87">
      <c r="A87" s="10" t="inlineStr">
        <is>
          <t>W04-U4-IN</t>
        </is>
      </c>
      <c r="B87" s="10" t="inlineStr">
        <is>
          <t>W04-U4</t>
        </is>
      </c>
      <c r="C87" s="10" t="n">
        <v>4</v>
      </c>
      <c r="D87" s="11" t="n">
        <v>46261</v>
      </c>
      <c r="E87" s="10" t="inlineStr">
        <is>
          <t>Thursday</t>
        </is>
      </c>
      <c r="F87" s="10" t="inlineStr">
        <is>
          <t>Danny</t>
        </is>
      </c>
      <c r="G87" s="10" t="inlineStr">
        <is>
          <t>Your regulars, remembered automatically.</t>
        </is>
      </c>
      <c r="H87" s="10" t="inlineStr">
        <is>
          <t>Educate</t>
        </is>
      </c>
      <c r="I87" s="10" t="inlineStr">
        <is>
          <t>Static</t>
        </is>
      </c>
      <c r="J87" s="10" t="inlineStr">
        <is>
          <t>Instagram</t>
        </is>
      </c>
      <c r="K87" s="10" t="inlineStr">
        <is>
          <t>Adapted</t>
        </is>
      </c>
      <c r="L87" s="10" t="inlineStr">
        <is>
          <t>95% return after visit four</t>
        </is>
      </c>
      <c r="M87" s="10" t="inlineStr">
        <is>
          <t>Book a demo</t>
        </is>
      </c>
      <c r="N87" s="10" t="inlineStr">
        <is>
          <t>No</t>
        </is>
      </c>
      <c r="O87" s="10" t="inlineStr">
        <is>
          <t>No</t>
        </is>
      </c>
      <c r="P87" s="10" t="inlineStr">
        <is>
          <t>Not started</t>
        </is>
      </c>
      <c r="Q87" s="10" t="inlineStr">
        <is>
          <t>Not started</t>
        </is>
      </c>
      <c r="R87" s="10" t="inlineStr"/>
      <c r="S87" s="10" t="inlineStr"/>
      <c r="T87" s="10" t="inlineStr"/>
      <c r="U87" s="10" t="n"/>
      <c r="V87" s="10">
        <f>IF(U87="","",IF(U87&gt;=70,"Pass","Hold"))</f>
        <v/>
      </c>
      <c r="W87" s="11" t="n">
        <v>46261</v>
      </c>
      <c r="X87" s="10" t="inlineStr">
        <is>
          <t>10:00 AM</t>
        </is>
      </c>
      <c r="Y87" s="10" t="inlineStr">
        <is>
          <t>Scheduled</t>
        </is>
      </c>
      <c r="Z87" s="11" t="n"/>
      <c r="AA87" s="10" t="inlineStr"/>
      <c r="AB87" s="10" t="inlineStr"/>
      <c r="AC87" s="10" t="n"/>
      <c r="AD87" s="10" t="n"/>
      <c r="AE87" s="10" t="n"/>
      <c r="AF87" s="10" t="n"/>
      <c r="AG87" s="10" t="n"/>
      <c r="AH87" s="10" t="n"/>
      <c r="AI87" s="10" t="n"/>
      <c r="AJ87" s="10" t="n"/>
      <c r="AK87" s="10" t="n"/>
      <c r="AL87" s="10" t="n"/>
      <c r="AM87" s="10" t="inlineStr">
        <is>
          <t>No</t>
        </is>
      </c>
      <c r="AN87" s="10" t="n"/>
      <c r="AO87" s="10" t="n"/>
      <c r="AP87" s="10">
        <f>IF(AND(AC87&lt;&gt;"",AO87&lt;&gt;"",AO87&gt;0),AC87/AO87,"")</f>
        <v/>
      </c>
      <c r="AQ87" s="10">
        <f>IF(AP87="","",IF(AP87&gt;=2,"A",IF(AP87&gt;=1.2,"B",IF(AP87&gt;=0.6,"C","D"))))</f>
        <v/>
      </c>
      <c r="AR87" s="10" t="inlineStr"/>
      <c r="AS87" s="11" t="inlineStr"/>
      <c r="AT87" s="10" t="inlineStr"/>
    </row>
    <row r="88">
      <c r="A88" s="10" t="inlineStr">
        <is>
          <t>W04-U5-IN</t>
        </is>
      </c>
      <c r="B88" s="10" t="inlineStr">
        <is>
          <t>W04-U5</t>
        </is>
      </c>
      <c r="C88" s="10" t="n">
        <v>4</v>
      </c>
      <c r="D88" s="11" t="n">
        <v>46262</v>
      </c>
      <c r="E88" s="10" t="inlineStr">
        <is>
          <t>Friday</t>
        </is>
      </c>
      <c r="F88" s="10" t="inlineStr">
        <is>
          <t>Danny</t>
        </is>
      </c>
      <c r="G88" s="10" t="inlineStr">
        <is>
          <t>Your regulars, remembered automatically.</t>
        </is>
      </c>
      <c r="H88" s="10" t="inlineStr">
        <is>
          <t>Engage</t>
        </is>
      </c>
      <c r="I88" s="10" t="inlineStr">
        <is>
          <t>Text</t>
        </is>
      </c>
      <c r="J88" s="10" t="inlineStr">
        <is>
          <t>Instagram</t>
        </is>
      </c>
      <c r="K88" s="10" t="inlineStr">
        <is>
          <t>Primary</t>
        </is>
      </c>
      <c r="L88" s="10" t="inlineStr">
        <is>
          <t>How many regulars have you actually lost?</t>
        </is>
      </c>
      <c r="M88" s="10" t="inlineStr">
        <is>
          <t>Engage (vote)</t>
        </is>
      </c>
      <c r="N88" s="10" t="inlineStr">
        <is>
          <t>No</t>
        </is>
      </c>
      <c r="O88" s="10" t="inlineStr">
        <is>
          <t>No</t>
        </is>
      </c>
      <c r="P88" s="10" t="inlineStr">
        <is>
          <t>Not started</t>
        </is>
      </c>
      <c r="Q88" s="10" t="inlineStr">
        <is>
          <t>Not started</t>
        </is>
      </c>
      <c r="R88" s="10" t="inlineStr"/>
      <c r="S88" s="10" t="inlineStr"/>
      <c r="T88" s="10" t="inlineStr"/>
      <c r="U88" s="10" t="n"/>
      <c r="V88" s="10">
        <f>IF(U88="","",IF(U88&gt;=70,"Pass","Hold"))</f>
        <v/>
      </c>
      <c r="W88" s="11" t="n">
        <v>46262</v>
      </c>
      <c r="X88" s="10" t="inlineStr">
        <is>
          <t>10:00 AM</t>
        </is>
      </c>
      <c r="Y88" s="10" t="inlineStr">
        <is>
          <t>Scheduled</t>
        </is>
      </c>
      <c r="Z88" s="11" t="n"/>
      <c r="AA88" s="10" t="inlineStr"/>
      <c r="AB88" s="10" t="inlineStr"/>
      <c r="AC88" s="10" t="n"/>
      <c r="AD88" s="10" t="n"/>
      <c r="AE88" s="10" t="n"/>
      <c r="AF88" s="10" t="n"/>
      <c r="AG88" s="10" t="n"/>
      <c r="AH88" s="10" t="n"/>
      <c r="AI88" s="10" t="n"/>
      <c r="AJ88" s="10" t="n"/>
      <c r="AK88" s="10" t="n"/>
      <c r="AL88" s="10" t="n"/>
      <c r="AM88" s="10" t="inlineStr">
        <is>
          <t>No</t>
        </is>
      </c>
      <c r="AN88" s="10" t="n"/>
      <c r="AO88" s="10" t="n"/>
      <c r="AP88" s="10">
        <f>IF(AND(AC88&lt;&gt;"",AO88&lt;&gt;"",AO88&gt;0),AC88/AO88,"")</f>
        <v/>
      </c>
      <c r="AQ88" s="10">
        <f>IF(AP88="","",IF(AP88&gt;=2,"A",IF(AP88&gt;=1.2,"B",IF(AP88&gt;=0.6,"C","D"))))</f>
        <v/>
      </c>
      <c r="AR88" s="10" t="inlineStr"/>
      <c r="AS88" s="11" t="inlineStr"/>
      <c r="AT88" s="10" t="inlineStr"/>
    </row>
    <row r="89">
      <c r="A89" s="10" t="inlineStr">
        <is>
          <t>W04-U5-LI</t>
        </is>
      </c>
      <c r="B89" s="10" t="inlineStr">
        <is>
          <t>W04-U5</t>
        </is>
      </c>
      <c r="C89" s="10" t="n">
        <v>4</v>
      </c>
      <c r="D89" s="11" t="n">
        <v>46262</v>
      </c>
      <c r="E89" s="10" t="inlineStr">
        <is>
          <t>Friday</t>
        </is>
      </c>
      <c r="F89" s="10" t="inlineStr">
        <is>
          <t>Danny</t>
        </is>
      </c>
      <c r="G89" s="10" t="inlineStr">
        <is>
          <t>Your regulars, remembered automatically.</t>
        </is>
      </c>
      <c r="H89" s="10" t="inlineStr">
        <is>
          <t>Engage</t>
        </is>
      </c>
      <c r="I89" s="10" t="inlineStr">
        <is>
          <t>Text</t>
        </is>
      </c>
      <c r="J89" s="10" t="inlineStr">
        <is>
          <t>LinkedIn</t>
        </is>
      </c>
      <c r="K89" s="10" t="inlineStr">
        <is>
          <t>Adapted</t>
        </is>
      </c>
      <c r="L89" s="10" t="inlineStr">
        <is>
          <t>How many regulars have you actually lost?</t>
        </is>
      </c>
      <c r="M89" s="10" t="inlineStr">
        <is>
          <t>Engage (vote)</t>
        </is>
      </c>
      <c r="N89" s="10" t="inlineStr">
        <is>
          <t>No</t>
        </is>
      </c>
      <c r="O89" s="10" t="inlineStr">
        <is>
          <t>No</t>
        </is>
      </c>
      <c r="P89" s="10" t="inlineStr">
        <is>
          <t>Not started</t>
        </is>
      </c>
      <c r="Q89" s="10" t="inlineStr">
        <is>
          <t>Not started</t>
        </is>
      </c>
      <c r="R89" s="10" t="inlineStr"/>
      <c r="S89" s="10" t="inlineStr"/>
      <c r="T89" s="10" t="inlineStr"/>
      <c r="U89" s="10" t="n"/>
      <c r="V89" s="10">
        <f>IF(U89="","",IF(U89&gt;=70,"Pass","Hold"))</f>
        <v/>
      </c>
      <c r="W89" s="11" t="n">
        <v>46262</v>
      </c>
      <c r="X89" s="10" t="inlineStr">
        <is>
          <t>10:00 AM</t>
        </is>
      </c>
      <c r="Y89" s="10" t="inlineStr">
        <is>
          <t>Scheduled</t>
        </is>
      </c>
      <c r="Z89" s="11" t="n"/>
      <c r="AA89" s="10" t="inlineStr"/>
      <c r="AB89" s="10" t="inlineStr"/>
      <c r="AC89" s="10" t="n"/>
      <c r="AD89" s="10" t="n"/>
      <c r="AE89" s="10" t="n"/>
      <c r="AF89" s="10" t="n"/>
      <c r="AG89" s="10" t="n"/>
      <c r="AH89" s="10" t="n"/>
      <c r="AI89" s="10" t="n"/>
      <c r="AJ89" s="10" t="n"/>
      <c r="AK89" s="10" t="n"/>
      <c r="AL89" s="10" t="n"/>
      <c r="AM89" s="10" t="inlineStr">
        <is>
          <t>No</t>
        </is>
      </c>
      <c r="AN89" s="10" t="n"/>
      <c r="AO89" s="10" t="n"/>
      <c r="AP89" s="10">
        <f>IF(AND(AC89&lt;&gt;"",AO89&lt;&gt;"",AO89&gt;0),AC89/AO89,"")</f>
        <v/>
      </c>
      <c r="AQ89" s="10">
        <f>IF(AP89="","",IF(AP89&gt;=2,"A",IF(AP89&gt;=1.2,"B",IF(AP89&gt;=0.6,"C","D"))))</f>
        <v/>
      </c>
      <c r="AR89" s="10" t="inlineStr"/>
      <c r="AS89" s="11" t="inlineStr"/>
      <c r="AT89" s="10" t="inlineStr"/>
    </row>
    <row r="90">
      <c r="A90" s="10" t="inlineStr">
        <is>
          <t>W04-U6-LI</t>
        </is>
      </c>
      <c r="B90" s="10" t="inlineStr">
        <is>
          <t>W04-U6</t>
        </is>
      </c>
      <c r="C90" s="10" t="n">
        <v>4</v>
      </c>
      <c r="D90" s="11" t="n">
        <v>46263</v>
      </c>
      <c r="E90" s="10" t="inlineStr">
        <is>
          <t>Saturday</t>
        </is>
      </c>
      <c r="F90" s="10" t="inlineStr">
        <is>
          <t>Danny</t>
        </is>
      </c>
      <c r="G90" s="10" t="inlineStr">
        <is>
          <t>(none — discovery/recap unit)</t>
        </is>
      </c>
      <c r="H90" s="10" t="inlineStr">
        <is>
          <t>Promote</t>
        </is>
      </c>
      <c r="I90" s="10" t="inlineStr">
        <is>
          <t>Static</t>
        </is>
      </c>
      <c r="J90" s="10" t="inlineStr">
        <is>
          <t>LinkedIn</t>
        </is>
      </c>
      <c r="K90" s="10" t="inlineStr">
        <is>
          <t>Primary</t>
        </is>
      </c>
      <c r="L90" s="10" t="inlineStr">
        <is>
          <t>Month one, wrapped</t>
        </is>
      </c>
      <c r="M90" s="10" t="inlineStr">
        <is>
          <t>Book a demo</t>
        </is>
      </c>
      <c r="N90" s="10" t="inlineStr">
        <is>
          <t>No</t>
        </is>
      </c>
      <c r="O90" s="10" t="inlineStr">
        <is>
          <t>No</t>
        </is>
      </c>
      <c r="P90" s="10" t="inlineStr">
        <is>
          <t>Not started</t>
        </is>
      </c>
      <c r="Q90" s="10" t="inlineStr">
        <is>
          <t>Not started</t>
        </is>
      </c>
      <c r="R90" s="10" t="inlineStr"/>
      <c r="S90" s="10" t="inlineStr"/>
      <c r="T90" s="10" t="inlineStr"/>
      <c r="U90" s="10" t="n"/>
      <c r="V90" s="10">
        <f>IF(U90="","",IF(U90&gt;=70,"Pass","Hold"))</f>
        <v/>
      </c>
      <c r="W90" s="11" t="n">
        <v>46263</v>
      </c>
      <c r="X90" s="10" t="inlineStr">
        <is>
          <t>10:00 AM</t>
        </is>
      </c>
      <c r="Y90" s="10" t="inlineStr">
        <is>
          <t>Scheduled</t>
        </is>
      </c>
      <c r="Z90" s="11" t="n"/>
      <c r="AA90" s="10" t="inlineStr"/>
      <c r="AB90" s="10" t="inlineStr"/>
      <c r="AC90" s="10" t="n"/>
      <c r="AD90" s="10" t="n"/>
      <c r="AE90" s="10" t="n"/>
      <c r="AF90" s="10" t="n"/>
      <c r="AG90" s="10" t="n"/>
      <c r="AH90" s="10" t="n"/>
      <c r="AI90" s="10" t="n"/>
      <c r="AJ90" s="10" t="n"/>
      <c r="AK90" s="10" t="n"/>
      <c r="AL90" s="10" t="n"/>
      <c r="AM90" s="10" t="inlineStr">
        <is>
          <t>No</t>
        </is>
      </c>
      <c r="AN90" s="10" t="n"/>
      <c r="AO90" s="10" t="n"/>
      <c r="AP90" s="10">
        <f>IF(AND(AC90&lt;&gt;"",AO90&lt;&gt;"",AO90&gt;0),AC90/AO90,"")</f>
        <v/>
      </c>
      <c r="AQ90" s="10">
        <f>IF(AP90="","",IF(AP90&gt;=2,"A",IF(AP90&gt;=1.2,"B",IF(AP90&gt;=0.6,"C","D"))))</f>
        <v/>
      </c>
      <c r="AR90" s="10" t="inlineStr"/>
      <c r="AS90" s="11" t="inlineStr"/>
      <c r="AT90" s="10" t="inlineStr"/>
    </row>
    <row r="91">
      <c r="A91" s="10" t="inlineStr">
        <is>
          <t>W04-U6-FA</t>
        </is>
      </c>
      <c r="B91" s="10" t="inlineStr">
        <is>
          <t>W04-U6</t>
        </is>
      </c>
      <c r="C91" s="10" t="n">
        <v>4</v>
      </c>
      <c r="D91" s="11" t="n">
        <v>46263</v>
      </c>
      <c r="E91" s="10" t="inlineStr">
        <is>
          <t>Saturday</t>
        </is>
      </c>
      <c r="F91" s="10" t="inlineStr">
        <is>
          <t>Danny</t>
        </is>
      </c>
      <c r="G91" s="10" t="inlineStr">
        <is>
          <t>(none — discovery/recap unit)</t>
        </is>
      </c>
      <c r="H91" s="10" t="inlineStr">
        <is>
          <t>Promote</t>
        </is>
      </c>
      <c r="I91" s="10" t="inlineStr">
        <is>
          <t>Static</t>
        </is>
      </c>
      <c r="J91" s="10" t="inlineStr">
        <is>
          <t>Facebook</t>
        </is>
      </c>
      <c r="K91" s="10" t="inlineStr">
        <is>
          <t>Mirror</t>
        </is>
      </c>
      <c r="L91" s="10" t="inlineStr">
        <is>
          <t>Month one, wrapped</t>
        </is>
      </c>
      <c r="M91" s="10" t="inlineStr">
        <is>
          <t>Book a demo</t>
        </is>
      </c>
      <c r="N91" s="10" t="inlineStr">
        <is>
          <t>No</t>
        </is>
      </c>
      <c r="O91" s="10" t="inlineStr">
        <is>
          <t>No</t>
        </is>
      </c>
      <c r="P91" s="10" t="inlineStr">
        <is>
          <t>Not started</t>
        </is>
      </c>
      <c r="Q91" s="10" t="inlineStr">
        <is>
          <t>Not started</t>
        </is>
      </c>
      <c r="R91" s="10" t="inlineStr"/>
      <c r="S91" s="10" t="inlineStr"/>
      <c r="T91" s="10" t="inlineStr"/>
      <c r="U91" s="10" t="n"/>
      <c r="V91" s="10">
        <f>IF(U91="","",IF(U91&gt;=70,"Pass","Hold"))</f>
        <v/>
      </c>
      <c r="W91" s="11" t="n">
        <v>46263</v>
      </c>
      <c r="X91" s="10" t="inlineStr">
        <is>
          <t>10:00 AM</t>
        </is>
      </c>
      <c r="Y91" s="10" t="inlineStr">
        <is>
          <t>Scheduled</t>
        </is>
      </c>
      <c r="Z91" s="11" t="n"/>
      <c r="AA91" s="10" t="inlineStr"/>
      <c r="AB91" s="10" t="inlineStr"/>
      <c r="AC91" s="10" t="n"/>
      <c r="AD91" s="10" t="n"/>
      <c r="AE91" s="10" t="n"/>
      <c r="AF91" s="10" t="n"/>
      <c r="AG91" s="10" t="n"/>
      <c r="AH91" s="10" t="n"/>
      <c r="AI91" s="10" t="n"/>
      <c r="AJ91" s="10" t="n"/>
      <c r="AK91" s="10" t="n"/>
      <c r="AL91" s="10" t="n"/>
      <c r="AM91" s="10" t="inlineStr">
        <is>
          <t>No</t>
        </is>
      </c>
      <c r="AN91" s="10" t="n"/>
      <c r="AO91" s="10" t="n"/>
      <c r="AP91" s="10">
        <f>IF(AND(AC91&lt;&gt;"",AO91&lt;&gt;"",AO91&gt;0),AC91/AO91,"")</f>
        <v/>
      </c>
      <c r="AQ91" s="10">
        <f>IF(AP91="","",IF(AP91&gt;=2,"A",IF(AP91&gt;=1.2,"B",IF(AP91&gt;=0.6,"C","D"))))</f>
        <v/>
      </c>
      <c r="AR91" s="10" t="inlineStr"/>
      <c r="AS91" s="11" t="inlineStr"/>
      <c r="AT91" s="10" t="inlineStr"/>
    </row>
    <row r="92">
      <c r="A92" s="10" t="inlineStr">
        <is>
          <t>W04-U6-IN</t>
        </is>
      </c>
      <c r="B92" s="10" t="inlineStr">
        <is>
          <t>W04-U6</t>
        </is>
      </c>
      <c r="C92" s="10" t="n">
        <v>4</v>
      </c>
      <c r="D92" s="11" t="n">
        <v>46263</v>
      </c>
      <c r="E92" s="10" t="inlineStr">
        <is>
          <t>Saturday</t>
        </is>
      </c>
      <c r="F92" s="10" t="inlineStr">
        <is>
          <t>Danny</t>
        </is>
      </c>
      <c r="G92" s="10" t="inlineStr">
        <is>
          <t>(none — discovery/recap unit)</t>
        </is>
      </c>
      <c r="H92" s="10" t="inlineStr">
        <is>
          <t>Promote</t>
        </is>
      </c>
      <c r="I92" s="10" t="inlineStr">
        <is>
          <t>Static</t>
        </is>
      </c>
      <c r="J92" s="10" t="inlineStr">
        <is>
          <t>Instagram</t>
        </is>
      </c>
      <c r="K92" s="10" t="inlineStr">
        <is>
          <t>Adapted</t>
        </is>
      </c>
      <c r="L92" s="10" t="inlineStr">
        <is>
          <t>Month one, wrapped</t>
        </is>
      </c>
      <c r="M92" s="10" t="inlineStr">
        <is>
          <t>Book a demo</t>
        </is>
      </c>
      <c r="N92" s="10" t="inlineStr">
        <is>
          <t>No</t>
        </is>
      </c>
      <c r="O92" s="10" t="inlineStr">
        <is>
          <t>No</t>
        </is>
      </c>
      <c r="P92" s="10" t="inlineStr">
        <is>
          <t>Not started</t>
        </is>
      </c>
      <c r="Q92" s="10" t="inlineStr">
        <is>
          <t>Not started</t>
        </is>
      </c>
      <c r="R92" s="10" t="inlineStr"/>
      <c r="S92" s="10" t="inlineStr"/>
      <c r="T92" s="10" t="inlineStr"/>
      <c r="U92" s="10" t="n"/>
      <c r="V92" s="10">
        <f>IF(U92="","",IF(U92&gt;=70,"Pass","Hold"))</f>
        <v/>
      </c>
      <c r="W92" s="11" t="n">
        <v>46263</v>
      </c>
      <c r="X92" s="10" t="inlineStr">
        <is>
          <t>10:00 AM</t>
        </is>
      </c>
      <c r="Y92" s="10" t="inlineStr">
        <is>
          <t>Scheduled</t>
        </is>
      </c>
      <c r="Z92" s="11" t="n"/>
      <c r="AA92" s="10" t="inlineStr"/>
      <c r="AB92" s="10" t="inlineStr"/>
      <c r="AC92" s="10" t="n"/>
      <c r="AD92" s="10" t="n"/>
      <c r="AE92" s="10" t="n"/>
      <c r="AF92" s="10" t="n"/>
      <c r="AG92" s="10" t="n"/>
      <c r="AH92" s="10" t="n"/>
      <c r="AI92" s="10" t="n"/>
      <c r="AJ92" s="10" t="n"/>
      <c r="AK92" s="10" t="n"/>
      <c r="AL92" s="10" t="n"/>
      <c r="AM92" s="10" t="inlineStr">
        <is>
          <t>No</t>
        </is>
      </c>
      <c r="AN92" s="10" t="n"/>
      <c r="AO92" s="10" t="n"/>
      <c r="AP92" s="10">
        <f>IF(AND(AC92&lt;&gt;"",AO92&lt;&gt;"",AO92&gt;0),AC92/AO92,"")</f>
        <v/>
      </c>
      <c r="AQ92" s="10">
        <f>IF(AP92="","",IF(AP92&gt;=2,"A",IF(AP92&gt;=1.2,"B",IF(AP92&gt;=0.6,"C","D"))))</f>
        <v/>
      </c>
      <c r="AR92" s="10" t="inlineStr"/>
      <c r="AS92" s="11" t="inlineStr"/>
      <c r="AT92" s="10" t="inlineStr"/>
    </row>
    <row r="93">
      <c r="A93" s="10" t="inlineStr">
        <is>
          <t>W04-U7-LI</t>
        </is>
      </c>
      <c r="B93" s="10" t="inlineStr">
        <is>
          <t>W04-U7</t>
        </is>
      </c>
      <c r="C93" s="10" t="n">
        <v>4</v>
      </c>
      <c r="D93" s="11" t="n">
        <v>46264</v>
      </c>
      <c r="E93" s="10" t="inlineStr">
        <is>
          <t>Sunday</t>
        </is>
      </c>
      <c r="F93" s="10" t="inlineStr">
        <is>
          <t>Danny</t>
        </is>
      </c>
      <c r="G93" s="10" t="inlineStr">
        <is>
          <t>A quote built around your store, not a shelf price.</t>
        </is>
      </c>
      <c r="H93" s="10" t="inlineStr">
        <is>
          <t>Engage</t>
        </is>
      </c>
      <c r="I93" s="10" t="inlineStr">
        <is>
          <t>Static</t>
        </is>
      </c>
      <c r="J93" s="10" t="inlineStr">
        <is>
          <t>LinkedIn</t>
        </is>
      </c>
      <c r="K93" s="10" t="inlineStr">
        <is>
          <t>Primary</t>
        </is>
      </c>
      <c r="L93" s="10" t="inlineStr">
        <is>
          <t>Ask us anything (bonus)</t>
        </is>
      </c>
      <c r="M93" s="10" t="inlineStr">
        <is>
          <t>Book a demo</t>
        </is>
      </c>
      <c r="N93" s="10" t="inlineStr">
        <is>
          <t>No</t>
        </is>
      </c>
      <c r="O93" s="10" t="inlineStr">
        <is>
          <t>No</t>
        </is>
      </c>
      <c r="P93" s="10" t="inlineStr">
        <is>
          <t>Not started</t>
        </is>
      </c>
      <c r="Q93" s="10" t="inlineStr">
        <is>
          <t>Not started</t>
        </is>
      </c>
      <c r="R93" s="10" t="inlineStr"/>
      <c r="S93" s="10" t="inlineStr"/>
      <c r="T93" s="10" t="inlineStr"/>
      <c r="U93" s="10" t="n"/>
      <c r="V93" s="10">
        <f>IF(U93="","",IF(U93&gt;=70,"Pass","Hold"))</f>
        <v/>
      </c>
      <c r="W93" s="11" t="n">
        <v>46264</v>
      </c>
      <c r="X93" s="10" t="inlineStr">
        <is>
          <t>10:00 AM</t>
        </is>
      </c>
      <c r="Y93" s="10" t="inlineStr">
        <is>
          <t>Scheduled</t>
        </is>
      </c>
      <c r="Z93" s="11" t="n"/>
      <c r="AA93" s="10" t="inlineStr"/>
      <c r="AB93" s="10" t="inlineStr"/>
      <c r="AC93" s="10" t="n"/>
      <c r="AD93" s="10" t="n"/>
      <c r="AE93" s="10" t="n"/>
      <c r="AF93" s="10" t="n"/>
      <c r="AG93" s="10" t="n"/>
      <c r="AH93" s="10" t="n"/>
      <c r="AI93" s="10" t="n"/>
      <c r="AJ93" s="10" t="n"/>
      <c r="AK93" s="10" t="n"/>
      <c r="AL93" s="10" t="n"/>
      <c r="AM93" s="10" t="inlineStr">
        <is>
          <t>No</t>
        </is>
      </c>
      <c r="AN93" s="10" t="n"/>
      <c r="AO93" s="10" t="n"/>
      <c r="AP93" s="10">
        <f>IF(AND(AC93&lt;&gt;"",AO93&lt;&gt;"",AO93&gt;0),AC93/AO93,"")</f>
        <v/>
      </c>
      <c r="AQ93" s="10">
        <f>IF(AP93="","",IF(AP93&gt;=2,"A",IF(AP93&gt;=1.2,"B",IF(AP93&gt;=0.6,"C","D"))))</f>
        <v/>
      </c>
      <c r="AR93" s="10" t="inlineStr"/>
      <c r="AS93" s="11" t="inlineStr"/>
      <c r="AT93" s="10" t="inlineStr"/>
    </row>
    <row r="94">
      <c r="A94" s="10" t="inlineStr">
        <is>
          <t>W04-U7-FA</t>
        </is>
      </c>
      <c r="B94" s="10" t="inlineStr">
        <is>
          <t>W04-U7</t>
        </is>
      </c>
      <c r="C94" s="10" t="n">
        <v>4</v>
      </c>
      <c r="D94" s="11" t="n">
        <v>46264</v>
      </c>
      <c r="E94" s="10" t="inlineStr">
        <is>
          <t>Sunday</t>
        </is>
      </c>
      <c r="F94" s="10" t="inlineStr">
        <is>
          <t>Danny</t>
        </is>
      </c>
      <c r="G94" s="10" t="inlineStr">
        <is>
          <t>A quote built around your store, not a shelf price.</t>
        </is>
      </c>
      <c r="H94" s="10" t="inlineStr">
        <is>
          <t>Engage</t>
        </is>
      </c>
      <c r="I94" s="10" t="inlineStr">
        <is>
          <t>Static</t>
        </is>
      </c>
      <c r="J94" s="10" t="inlineStr">
        <is>
          <t>Facebook</t>
        </is>
      </c>
      <c r="K94" s="10" t="inlineStr">
        <is>
          <t>Mirror</t>
        </is>
      </c>
      <c r="L94" s="10" t="inlineStr">
        <is>
          <t>Ask us anything (bonus)</t>
        </is>
      </c>
      <c r="M94" s="10" t="inlineStr">
        <is>
          <t>Book a demo</t>
        </is>
      </c>
      <c r="N94" s="10" t="inlineStr">
        <is>
          <t>No</t>
        </is>
      </c>
      <c r="O94" s="10" t="inlineStr">
        <is>
          <t>No</t>
        </is>
      </c>
      <c r="P94" s="10" t="inlineStr">
        <is>
          <t>Not started</t>
        </is>
      </c>
      <c r="Q94" s="10" t="inlineStr">
        <is>
          <t>Not started</t>
        </is>
      </c>
      <c r="R94" s="10" t="inlineStr"/>
      <c r="S94" s="10" t="inlineStr"/>
      <c r="T94" s="10" t="inlineStr"/>
      <c r="U94" s="10" t="n"/>
      <c r="V94" s="10">
        <f>IF(U94="","",IF(U94&gt;=70,"Pass","Hold"))</f>
        <v/>
      </c>
      <c r="W94" s="11" t="n">
        <v>46264</v>
      </c>
      <c r="X94" s="10" t="inlineStr">
        <is>
          <t>10:00 AM</t>
        </is>
      </c>
      <c r="Y94" s="10" t="inlineStr">
        <is>
          <t>Scheduled</t>
        </is>
      </c>
      <c r="Z94" s="11" t="n"/>
      <c r="AA94" s="10" t="inlineStr"/>
      <c r="AB94" s="10" t="inlineStr"/>
      <c r="AC94" s="10" t="n"/>
      <c r="AD94" s="10" t="n"/>
      <c r="AE94" s="10" t="n"/>
      <c r="AF94" s="10" t="n"/>
      <c r="AG94" s="10" t="n"/>
      <c r="AH94" s="10" t="n"/>
      <c r="AI94" s="10" t="n"/>
      <c r="AJ94" s="10" t="n"/>
      <c r="AK94" s="10" t="n"/>
      <c r="AL94" s="10" t="n"/>
      <c r="AM94" s="10" t="inlineStr">
        <is>
          <t>No</t>
        </is>
      </c>
      <c r="AN94" s="10" t="n"/>
      <c r="AO94" s="10" t="n"/>
      <c r="AP94" s="10">
        <f>IF(AND(AC94&lt;&gt;"",AO94&lt;&gt;"",AO94&gt;0),AC94/AO94,"")</f>
        <v/>
      </c>
      <c r="AQ94" s="10">
        <f>IF(AP94="","",IF(AP94&gt;=2,"A",IF(AP94&gt;=1.2,"B",IF(AP94&gt;=0.6,"C","D"))))</f>
        <v/>
      </c>
      <c r="AR94" s="10" t="inlineStr"/>
      <c r="AS94" s="11" t="inlineStr"/>
      <c r="AT94" s="10" t="inlineStr"/>
    </row>
    <row r="95">
      <c r="A95" s="10" t="inlineStr">
        <is>
          <t>W04-U7-IN</t>
        </is>
      </c>
      <c r="B95" s="10" t="inlineStr">
        <is>
          <t>W04-U7</t>
        </is>
      </c>
      <c r="C95" s="10" t="n">
        <v>4</v>
      </c>
      <c r="D95" s="11" t="n">
        <v>46264</v>
      </c>
      <c r="E95" s="10" t="inlineStr">
        <is>
          <t>Sunday</t>
        </is>
      </c>
      <c r="F95" s="10" t="inlineStr">
        <is>
          <t>Danny</t>
        </is>
      </c>
      <c r="G95" s="10" t="inlineStr">
        <is>
          <t>A quote built around your store, not a shelf price.</t>
        </is>
      </c>
      <c r="H95" s="10" t="inlineStr">
        <is>
          <t>Engage</t>
        </is>
      </c>
      <c r="I95" s="10" t="inlineStr">
        <is>
          <t>Static</t>
        </is>
      </c>
      <c r="J95" s="10" t="inlineStr">
        <is>
          <t>Instagram</t>
        </is>
      </c>
      <c r="K95" s="10" t="inlineStr">
        <is>
          <t>Adapted</t>
        </is>
      </c>
      <c r="L95" s="10" t="inlineStr">
        <is>
          <t>Ask us anything (bonus)</t>
        </is>
      </c>
      <c r="M95" s="10" t="inlineStr">
        <is>
          <t>Book a demo</t>
        </is>
      </c>
      <c r="N95" s="10" t="inlineStr">
        <is>
          <t>No</t>
        </is>
      </c>
      <c r="O95" s="10" t="inlineStr">
        <is>
          <t>No</t>
        </is>
      </c>
      <c r="P95" s="10" t="inlineStr">
        <is>
          <t>Not started</t>
        </is>
      </c>
      <c r="Q95" s="10" t="inlineStr">
        <is>
          <t>Not started</t>
        </is>
      </c>
      <c r="R95" s="10" t="inlineStr"/>
      <c r="S95" s="10" t="inlineStr"/>
      <c r="T95" s="10" t="inlineStr"/>
      <c r="U95" s="10" t="n"/>
      <c r="V95" s="10">
        <f>IF(U95="","",IF(U95&gt;=70,"Pass","Hold"))</f>
        <v/>
      </c>
      <c r="W95" s="11" t="n">
        <v>46264</v>
      </c>
      <c r="X95" s="10" t="inlineStr">
        <is>
          <t>10:00 AM</t>
        </is>
      </c>
      <c r="Y95" s="10" t="inlineStr">
        <is>
          <t>Scheduled</t>
        </is>
      </c>
      <c r="Z95" s="11" t="n"/>
      <c r="AA95" s="10" t="inlineStr"/>
      <c r="AB95" s="10" t="inlineStr"/>
      <c r="AC95" s="10" t="n"/>
      <c r="AD95" s="10" t="n"/>
      <c r="AE95" s="10" t="n"/>
      <c r="AF95" s="10" t="n"/>
      <c r="AG95" s="10" t="n"/>
      <c r="AH95" s="10" t="n"/>
      <c r="AI95" s="10" t="n"/>
      <c r="AJ95" s="10" t="n"/>
      <c r="AK95" s="10" t="n"/>
      <c r="AL95" s="10" t="n"/>
      <c r="AM95" s="10" t="inlineStr">
        <is>
          <t>No</t>
        </is>
      </c>
      <c r="AN95" s="10" t="n"/>
      <c r="AO95" s="10" t="n"/>
      <c r="AP95" s="10">
        <f>IF(AND(AC95&lt;&gt;"",AO95&lt;&gt;"",AO95&gt;0),AC95/AO95,"")</f>
        <v/>
      </c>
      <c r="AQ95" s="10">
        <f>IF(AP95="","",IF(AP95&gt;=2,"A",IF(AP95&gt;=1.2,"B",IF(AP95&gt;=0.6,"C","D"))))</f>
        <v/>
      </c>
      <c r="AR95" s="10" t="inlineStr"/>
      <c r="AS95" s="11" t="inlineStr"/>
      <c r="AT95" s="10" t="inlineStr"/>
    </row>
    <row r="96">
      <c r="A96" s="10" t="inlineStr">
        <is>
          <t>W05-U1-LI</t>
        </is>
      </c>
      <c r="B96" s="10" t="inlineStr">
        <is>
          <t>W05-U1</t>
        </is>
      </c>
      <c r="C96" s="10" t="n">
        <v>5</v>
      </c>
      <c r="D96" s="11" t="n">
        <v>46265</v>
      </c>
      <c r="E96" s="10" t="inlineStr">
        <is>
          <t>Monday</t>
        </is>
      </c>
      <c r="F96" s="10" t="inlineStr">
        <is>
          <t>Danny</t>
        </is>
      </c>
      <c r="G96" s="10" t="inlineStr">
        <is>
          <t>Built for what needs an ID check.</t>
        </is>
      </c>
      <c r="H96" s="10" t="inlineStr">
        <is>
          <t>Educate</t>
        </is>
      </c>
      <c r="I96" s="10" t="inlineStr">
        <is>
          <t>Text</t>
        </is>
      </c>
      <c r="J96" s="10" t="inlineStr">
        <is>
          <t>LinkedIn</t>
        </is>
      </c>
      <c r="K96" s="10" t="inlineStr">
        <is>
          <t>Primary</t>
        </is>
      </c>
      <c r="L96" s="10" t="inlineStr">
        <is>
          <t>Liquor store POS buyer's guide 2026</t>
        </is>
      </c>
      <c r="M96" s="10" t="inlineStr">
        <is>
          <t>Read more (link)</t>
        </is>
      </c>
      <c r="N96" s="10" t="inlineStr">
        <is>
          <t>No</t>
        </is>
      </c>
      <c r="O96" s="10" t="inlineStr">
        <is>
          <t>No</t>
        </is>
      </c>
      <c r="P96" s="10" t="inlineStr">
        <is>
          <t>Not started</t>
        </is>
      </c>
      <c r="Q96" s="10" t="inlineStr">
        <is>
          <t>Not started</t>
        </is>
      </c>
      <c r="R96" s="10" t="inlineStr"/>
      <c r="S96" s="10" t="inlineStr"/>
      <c r="T96" s="10" t="inlineStr"/>
      <c r="U96" s="10" t="n"/>
      <c r="V96" s="10">
        <f>IF(U96="","",IF(U96&gt;=70,"Pass","Hold"))</f>
        <v/>
      </c>
      <c r="W96" s="11" t="n">
        <v>46265</v>
      </c>
      <c r="X96" s="10" t="inlineStr">
        <is>
          <t>10:00 AM</t>
        </is>
      </c>
      <c r="Y96" s="10" t="inlineStr">
        <is>
          <t>Scheduled</t>
        </is>
      </c>
      <c r="Z96" s="11" t="n"/>
      <c r="AA96" s="10" t="inlineStr"/>
      <c r="AB96" s="10" t="inlineStr"/>
      <c r="AC96" s="10" t="n"/>
      <c r="AD96" s="10" t="n"/>
      <c r="AE96" s="10" t="n"/>
      <c r="AF96" s="10" t="n"/>
      <c r="AG96" s="10" t="n"/>
      <c r="AH96" s="10" t="n"/>
      <c r="AI96" s="10" t="n"/>
      <c r="AJ96" s="10" t="n"/>
      <c r="AK96" s="10" t="n"/>
      <c r="AL96" s="10" t="n"/>
      <c r="AM96" s="10" t="inlineStr">
        <is>
          <t>No</t>
        </is>
      </c>
      <c r="AN96" s="10" t="n"/>
      <c r="AO96" s="10" t="n"/>
      <c r="AP96" s="10">
        <f>IF(AND(AC96&lt;&gt;"",AO96&lt;&gt;"",AO96&gt;0),AC96/AO96,"")</f>
        <v/>
      </c>
      <c r="AQ96" s="10">
        <f>IF(AP96="","",IF(AP96&gt;=2,"A",IF(AP96&gt;=1.2,"B",IF(AP96&gt;=0.6,"C","D"))))</f>
        <v/>
      </c>
      <c r="AR96" s="10" t="inlineStr"/>
      <c r="AS96" s="11" t="inlineStr"/>
      <c r="AT96" s="10" t="inlineStr"/>
    </row>
    <row r="97">
      <c r="A97" s="10" t="inlineStr">
        <is>
          <t>W05-U1-FA</t>
        </is>
      </c>
      <c r="B97" s="10" t="inlineStr">
        <is>
          <t>W05-U1</t>
        </is>
      </c>
      <c r="C97" s="10" t="n">
        <v>5</v>
      </c>
      <c r="D97" s="11" t="n">
        <v>46265</v>
      </c>
      <c r="E97" s="10" t="inlineStr">
        <is>
          <t>Monday</t>
        </is>
      </c>
      <c r="F97" s="10" t="inlineStr">
        <is>
          <t>Danny</t>
        </is>
      </c>
      <c r="G97" s="10" t="inlineStr">
        <is>
          <t>Built for what needs an ID check.</t>
        </is>
      </c>
      <c r="H97" s="10" t="inlineStr">
        <is>
          <t>Educate</t>
        </is>
      </c>
      <c r="I97" s="10" t="inlineStr">
        <is>
          <t>Text</t>
        </is>
      </c>
      <c r="J97" s="10" t="inlineStr">
        <is>
          <t>Facebook</t>
        </is>
      </c>
      <c r="K97" s="10" t="inlineStr">
        <is>
          <t>Primary</t>
        </is>
      </c>
      <c r="L97" s="10" t="inlineStr">
        <is>
          <t>Liquor store POS buyer's guide 2026</t>
        </is>
      </c>
      <c r="M97" s="10" t="inlineStr">
        <is>
          <t>Read more (link)</t>
        </is>
      </c>
      <c r="N97" s="10" t="inlineStr">
        <is>
          <t>No</t>
        </is>
      </c>
      <c r="O97" s="10" t="inlineStr">
        <is>
          <t>No</t>
        </is>
      </c>
      <c r="P97" s="10" t="inlineStr">
        <is>
          <t>Not started</t>
        </is>
      </c>
      <c r="Q97" s="10" t="inlineStr">
        <is>
          <t>Not started</t>
        </is>
      </c>
      <c r="R97" s="10" t="inlineStr"/>
      <c r="S97" s="10" t="inlineStr"/>
      <c r="T97" s="10" t="inlineStr"/>
      <c r="U97" s="10" t="n"/>
      <c r="V97" s="10">
        <f>IF(U97="","",IF(U97&gt;=70,"Pass","Hold"))</f>
        <v/>
      </c>
      <c r="W97" s="11" t="n">
        <v>46265</v>
      </c>
      <c r="X97" s="10" t="inlineStr">
        <is>
          <t>10:00 AM</t>
        </is>
      </c>
      <c r="Y97" s="10" t="inlineStr">
        <is>
          <t>Scheduled</t>
        </is>
      </c>
      <c r="Z97" s="11" t="n"/>
      <c r="AA97" s="10" t="inlineStr"/>
      <c r="AB97" s="10" t="inlineStr"/>
      <c r="AC97" s="10" t="n"/>
      <c r="AD97" s="10" t="n"/>
      <c r="AE97" s="10" t="n"/>
      <c r="AF97" s="10" t="n"/>
      <c r="AG97" s="10" t="n"/>
      <c r="AH97" s="10" t="n"/>
      <c r="AI97" s="10" t="n"/>
      <c r="AJ97" s="10" t="n"/>
      <c r="AK97" s="10" t="n"/>
      <c r="AL97" s="10" t="n"/>
      <c r="AM97" s="10" t="inlineStr">
        <is>
          <t>No</t>
        </is>
      </c>
      <c r="AN97" s="10" t="n"/>
      <c r="AO97" s="10" t="n"/>
      <c r="AP97" s="10">
        <f>IF(AND(AC97&lt;&gt;"",AO97&lt;&gt;"",AO97&gt;0),AC97/AO97,"")</f>
        <v/>
      </c>
      <c r="AQ97" s="10">
        <f>IF(AP97="","",IF(AP97&gt;=2,"A",IF(AP97&gt;=1.2,"B",IF(AP97&gt;=0.6,"C","D"))))</f>
        <v/>
      </c>
      <c r="AR97" s="10" t="inlineStr"/>
      <c r="AS97" s="11" t="inlineStr"/>
      <c r="AT97" s="10" t="inlineStr"/>
    </row>
    <row r="98">
      <c r="A98" s="10" t="inlineStr">
        <is>
          <t>W05-U1-BL</t>
        </is>
      </c>
      <c r="B98" s="10" t="inlineStr">
        <is>
          <t>W05-U1</t>
        </is>
      </c>
      <c r="C98" s="10" t="n">
        <v>5</v>
      </c>
      <c r="D98" s="11" t="n">
        <v>46265</v>
      </c>
      <c r="E98" s="10" t="inlineStr">
        <is>
          <t>Monday</t>
        </is>
      </c>
      <c r="F98" s="10" t="inlineStr">
        <is>
          <t>Danny</t>
        </is>
      </c>
      <c r="G98" s="10" t="inlineStr">
        <is>
          <t>Built for what needs an ID check.</t>
        </is>
      </c>
      <c r="H98" s="10" t="inlineStr">
        <is>
          <t>Educate</t>
        </is>
      </c>
      <c r="I98" s="10" t="inlineStr">
        <is>
          <t>Text</t>
        </is>
      </c>
      <c r="J98" s="10" t="inlineStr">
        <is>
          <t>Blog/SEO</t>
        </is>
      </c>
      <c r="K98" s="10" t="inlineStr">
        <is>
          <t>Primary</t>
        </is>
      </c>
      <c r="L98" s="10" t="inlineStr">
        <is>
          <t>Liquor store POS buyer's guide 2026</t>
        </is>
      </c>
      <c r="M98" s="10" t="inlineStr">
        <is>
          <t>Read more (link)</t>
        </is>
      </c>
      <c r="N98" s="10" t="inlineStr">
        <is>
          <t>No</t>
        </is>
      </c>
      <c r="O98" s="10" t="inlineStr">
        <is>
          <t>No</t>
        </is>
      </c>
      <c r="P98" s="10" t="inlineStr">
        <is>
          <t>Not started</t>
        </is>
      </c>
      <c r="Q98" s="10" t="inlineStr">
        <is>
          <t>Not started</t>
        </is>
      </c>
      <c r="R98" s="10" t="inlineStr"/>
      <c r="S98" s="10" t="inlineStr"/>
      <c r="T98" s="10" t="inlineStr"/>
      <c r="U98" s="10" t="n"/>
      <c r="V98" s="10">
        <f>IF(U98="","",IF(U98&gt;=70,"Pass","Hold"))</f>
        <v/>
      </c>
      <c r="W98" s="11" t="n">
        <v>46265</v>
      </c>
      <c r="X98" s="10" t="inlineStr">
        <is>
          <t>10:00 AM</t>
        </is>
      </c>
      <c r="Y98" s="10" t="inlineStr">
        <is>
          <t>Scheduled</t>
        </is>
      </c>
      <c r="Z98" s="11" t="n"/>
      <c r="AA98" s="10" t="inlineStr"/>
      <c r="AB98" s="10" t="inlineStr"/>
      <c r="AC98" s="10" t="n"/>
      <c r="AD98" s="10" t="n"/>
      <c r="AE98" s="10" t="n"/>
      <c r="AF98" s="10" t="n"/>
      <c r="AG98" s="10" t="n"/>
      <c r="AH98" s="10" t="n"/>
      <c r="AI98" s="10" t="n"/>
      <c r="AJ98" s="10" t="n"/>
      <c r="AK98" s="10" t="n"/>
      <c r="AL98" s="10" t="n"/>
      <c r="AM98" s="10" t="inlineStr">
        <is>
          <t>No</t>
        </is>
      </c>
      <c r="AN98" s="10" t="n"/>
      <c r="AO98" s="10" t="n"/>
      <c r="AP98" s="10">
        <f>IF(AND(AC98&lt;&gt;"",AO98&lt;&gt;"",AO98&gt;0),AC98/AO98,"")</f>
        <v/>
      </c>
      <c r="AQ98" s="10">
        <f>IF(AP98="","",IF(AP98&gt;=2,"A",IF(AP98&gt;=1.2,"B",IF(AP98&gt;=0.6,"C","D"))))</f>
        <v/>
      </c>
      <c r="AR98" s="10" t="inlineStr"/>
      <c r="AS98" s="11" t="inlineStr"/>
      <c r="AT98" s="10" t="inlineStr"/>
    </row>
    <row r="99">
      <c r="A99" s="10" t="inlineStr">
        <is>
          <t>W05-U1-X</t>
        </is>
      </c>
      <c r="B99" s="10" t="inlineStr">
        <is>
          <t>W05-U1</t>
        </is>
      </c>
      <c r="C99" s="10" t="n">
        <v>5</v>
      </c>
      <c r="D99" s="11" t="n">
        <v>46265</v>
      </c>
      <c r="E99" s="10" t="inlineStr">
        <is>
          <t>Monday</t>
        </is>
      </c>
      <c r="F99" s="10" t="inlineStr">
        <is>
          <t>Danny</t>
        </is>
      </c>
      <c r="G99" s="10" t="inlineStr">
        <is>
          <t>Built for what needs an ID check.</t>
        </is>
      </c>
      <c r="H99" s="10" t="inlineStr">
        <is>
          <t>Educate</t>
        </is>
      </c>
      <c r="I99" s="10" t="inlineStr">
        <is>
          <t>Text</t>
        </is>
      </c>
      <c r="J99" s="10" t="inlineStr">
        <is>
          <t>X</t>
        </is>
      </c>
      <c r="K99" s="10" t="inlineStr">
        <is>
          <t>Mirror</t>
        </is>
      </c>
      <c r="L99" s="10" t="inlineStr">
        <is>
          <t>Liquor store POS buyer's guide 2026</t>
        </is>
      </c>
      <c r="M99" s="10" t="inlineStr">
        <is>
          <t>Read more (link)</t>
        </is>
      </c>
      <c r="N99" s="10" t="inlineStr">
        <is>
          <t>No</t>
        </is>
      </c>
      <c r="O99" s="10" t="inlineStr">
        <is>
          <t>No</t>
        </is>
      </c>
      <c r="P99" s="10" t="inlineStr">
        <is>
          <t>Not started</t>
        </is>
      </c>
      <c r="Q99" s="10" t="inlineStr">
        <is>
          <t>Not started</t>
        </is>
      </c>
      <c r="R99" s="10" t="inlineStr"/>
      <c r="S99" s="10" t="inlineStr"/>
      <c r="T99" s="10" t="inlineStr"/>
      <c r="U99" s="10" t="n"/>
      <c r="V99" s="10">
        <f>IF(U99="","",IF(U99&gt;=70,"Pass","Hold"))</f>
        <v/>
      </c>
      <c r="W99" s="11" t="n">
        <v>46265</v>
      </c>
      <c r="X99" s="10" t="inlineStr">
        <is>
          <t>10:00 AM</t>
        </is>
      </c>
      <c r="Y99" s="10" t="inlineStr">
        <is>
          <t>Scheduled</t>
        </is>
      </c>
      <c r="Z99" s="11" t="n"/>
      <c r="AA99" s="10" t="inlineStr"/>
      <c r="AB99" s="10" t="inlineStr"/>
      <c r="AC99" s="10" t="n"/>
      <c r="AD99" s="10" t="n"/>
      <c r="AE99" s="10" t="n"/>
      <c r="AF99" s="10" t="n"/>
      <c r="AG99" s="10" t="n"/>
      <c r="AH99" s="10" t="n"/>
      <c r="AI99" s="10" t="n"/>
      <c r="AJ99" s="10" t="n"/>
      <c r="AK99" s="10" t="n"/>
      <c r="AL99" s="10" t="n"/>
      <c r="AM99" s="10" t="inlineStr">
        <is>
          <t>No</t>
        </is>
      </c>
      <c r="AN99" s="10" t="n"/>
      <c r="AO99" s="10" t="n"/>
      <c r="AP99" s="10">
        <f>IF(AND(AC99&lt;&gt;"",AO99&lt;&gt;"",AO99&gt;0),AC99/AO99,"")</f>
        <v/>
      </c>
      <c r="AQ99" s="10">
        <f>IF(AP99="","",IF(AP99&gt;=2,"A",IF(AP99&gt;=1.2,"B",IF(AP99&gt;=0.6,"C","D"))))</f>
        <v/>
      </c>
      <c r="AR99" s="10" t="inlineStr"/>
      <c r="AS99" s="11" t="inlineStr"/>
      <c r="AT99" s="10" t="inlineStr"/>
    </row>
    <row r="100">
      <c r="A100" s="10" t="inlineStr">
        <is>
          <t>W05-U2-IN</t>
        </is>
      </c>
      <c r="B100" s="10" t="inlineStr">
        <is>
          <t>W05-U2</t>
        </is>
      </c>
      <c r="C100" s="10" t="n">
        <v>5</v>
      </c>
      <c r="D100" s="11" t="n">
        <v>46266</v>
      </c>
      <c r="E100" s="10" t="inlineStr">
        <is>
          <t>Tuesday</t>
        </is>
      </c>
      <c r="F100" s="10" t="inlineStr">
        <is>
          <t>Danny</t>
        </is>
      </c>
      <c r="G100" s="10" t="inlineStr">
        <is>
          <t>Built for what needs an ID check.</t>
        </is>
      </c>
      <c r="H100" s="10" t="inlineStr">
        <is>
          <t>Educate</t>
        </is>
      </c>
      <c r="I100" s="10" t="inlineStr">
        <is>
          <t>Carousel</t>
        </is>
      </c>
      <c r="J100" s="10" t="inlineStr">
        <is>
          <t>Instagram</t>
        </is>
      </c>
      <c r="K100" s="10" t="inlineStr">
        <is>
          <t>Primary</t>
        </is>
      </c>
      <c r="L100" s="10" t="inlineStr">
        <is>
          <t>The liquor-store feature bundle</t>
        </is>
      </c>
      <c r="M100" s="10" t="inlineStr">
        <is>
          <t>Book a demo</t>
        </is>
      </c>
      <c r="N100" s="10" t="inlineStr">
        <is>
          <t>No</t>
        </is>
      </c>
      <c r="O100" s="10" t="inlineStr">
        <is>
          <t>No</t>
        </is>
      </c>
      <c r="P100" s="10" t="inlineStr">
        <is>
          <t>Not started</t>
        </is>
      </c>
      <c r="Q100" s="10" t="inlineStr">
        <is>
          <t>Not started</t>
        </is>
      </c>
      <c r="R100" s="10" t="inlineStr"/>
      <c r="S100" s="10" t="inlineStr"/>
      <c r="T100" s="10" t="inlineStr"/>
      <c r="U100" s="10" t="n"/>
      <c r="V100" s="10">
        <f>IF(U100="","",IF(U100&gt;=70,"Pass","Hold"))</f>
        <v/>
      </c>
      <c r="W100" s="11" t="n">
        <v>46266</v>
      </c>
      <c r="X100" s="10" t="inlineStr">
        <is>
          <t>10:00 AM</t>
        </is>
      </c>
      <c r="Y100" s="10" t="inlineStr">
        <is>
          <t>Scheduled</t>
        </is>
      </c>
      <c r="Z100" s="11" t="n"/>
      <c r="AA100" s="10" t="inlineStr"/>
      <c r="AB100" s="10" t="inlineStr"/>
      <c r="AC100" s="10" t="n"/>
      <c r="AD100" s="10" t="n"/>
      <c r="AE100" s="10" t="n"/>
      <c r="AF100" s="10" t="n"/>
      <c r="AG100" s="10" t="n"/>
      <c r="AH100" s="10" t="n"/>
      <c r="AI100" s="10" t="n"/>
      <c r="AJ100" s="10" t="n"/>
      <c r="AK100" s="10" t="n"/>
      <c r="AL100" s="10" t="n"/>
      <c r="AM100" s="10" t="inlineStr">
        <is>
          <t>No</t>
        </is>
      </c>
      <c r="AN100" s="10" t="n"/>
      <c r="AO100" s="10" t="n"/>
      <c r="AP100" s="10">
        <f>IF(AND(AC100&lt;&gt;"",AO100&lt;&gt;"",AO100&gt;0),AC100/AO100,"")</f>
        <v/>
      </c>
      <c r="AQ100" s="10">
        <f>IF(AP100="","",IF(AP100&gt;=2,"A",IF(AP100&gt;=1.2,"B",IF(AP100&gt;=0.6,"C","D"))))</f>
        <v/>
      </c>
      <c r="AR100" s="10" t="inlineStr"/>
      <c r="AS100" s="11" t="inlineStr"/>
      <c r="AT100" s="10" t="inlineStr"/>
    </row>
    <row r="101">
      <c r="A101" s="10" t="inlineStr">
        <is>
          <t>W05-U2-FA</t>
        </is>
      </c>
      <c r="B101" s="10" t="inlineStr">
        <is>
          <t>W05-U2</t>
        </is>
      </c>
      <c r="C101" s="10" t="n">
        <v>5</v>
      </c>
      <c r="D101" s="11" t="n">
        <v>46266</v>
      </c>
      <c r="E101" s="10" t="inlineStr">
        <is>
          <t>Tuesday</t>
        </is>
      </c>
      <c r="F101" s="10" t="inlineStr">
        <is>
          <t>Danny</t>
        </is>
      </c>
      <c r="G101" s="10" t="inlineStr">
        <is>
          <t>Built for what needs an ID check.</t>
        </is>
      </c>
      <c r="H101" s="10" t="inlineStr">
        <is>
          <t>Educate</t>
        </is>
      </c>
      <c r="I101" s="10" t="inlineStr">
        <is>
          <t>Carousel</t>
        </is>
      </c>
      <c r="J101" s="10" t="inlineStr">
        <is>
          <t>Facebook</t>
        </is>
      </c>
      <c r="K101" s="10" t="inlineStr">
        <is>
          <t>Mirror</t>
        </is>
      </c>
      <c r="L101" s="10" t="inlineStr">
        <is>
          <t>The liquor-store feature bundle</t>
        </is>
      </c>
      <c r="M101" s="10" t="inlineStr">
        <is>
          <t>Book a demo</t>
        </is>
      </c>
      <c r="N101" s="10" t="inlineStr">
        <is>
          <t>No</t>
        </is>
      </c>
      <c r="O101" s="10" t="inlineStr">
        <is>
          <t>No</t>
        </is>
      </c>
      <c r="P101" s="10" t="inlineStr">
        <is>
          <t>Not started</t>
        </is>
      </c>
      <c r="Q101" s="10" t="inlineStr">
        <is>
          <t>Not started</t>
        </is>
      </c>
      <c r="R101" s="10" t="inlineStr"/>
      <c r="S101" s="10" t="inlineStr"/>
      <c r="T101" s="10" t="inlineStr"/>
      <c r="U101" s="10" t="n"/>
      <c r="V101" s="10">
        <f>IF(U101="","",IF(U101&gt;=70,"Pass","Hold"))</f>
        <v/>
      </c>
      <c r="W101" s="11" t="n">
        <v>46266</v>
      </c>
      <c r="X101" s="10" t="inlineStr">
        <is>
          <t>10:00 AM</t>
        </is>
      </c>
      <c r="Y101" s="10" t="inlineStr">
        <is>
          <t>Scheduled</t>
        </is>
      </c>
      <c r="Z101" s="11" t="n"/>
      <c r="AA101" s="10" t="inlineStr"/>
      <c r="AB101" s="10" t="inlineStr"/>
      <c r="AC101" s="10" t="n"/>
      <c r="AD101" s="10" t="n"/>
      <c r="AE101" s="10" t="n"/>
      <c r="AF101" s="10" t="n"/>
      <c r="AG101" s="10" t="n"/>
      <c r="AH101" s="10" t="n"/>
      <c r="AI101" s="10" t="n"/>
      <c r="AJ101" s="10" t="n"/>
      <c r="AK101" s="10" t="n"/>
      <c r="AL101" s="10" t="n"/>
      <c r="AM101" s="10" t="inlineStr">
        <is>
          <t>No</t>
        </is>
      </c>
      <c r="AN101" s="10" t="n"/>
      <c r="AO101" s="10" t="n"/>
      <c r="AP101" s="10">
        <f>IF(AND(AC101&lt;&gt;"",AO101&lt;&gt;"",AO101&gt;0),AC101/AO101,"")</f>
        <v/>
      </c>
      <c r="AQ101" s="10">
        <f>IF(AP101="","",IF(AP101&gt;=2,"A",IF(AP101&gt;=1.2,"B",IF(AP101&gt;=0.6,"C","D"))))</f>
        <v/>
      </c>
      <c r="AR101" s="10" t="inlineStr"/>
      <c r="AS101" s="11" t="inlineStr"/>
      <c r="AT101" s="10" t="inlineStr"/>
    </row>
    <row r="102">
      <c r="A102" s="10" t="inlineStr">
        <is>
          <t>W05-U2-LI</t>
        </is>
      </c>
      <c r="B102" s="10" t="inlineStr">
        <is>
          <t>W05-U2</t>
        </is>
      </c>
      <c r="C102" s="10" t="n">
        <v>5</v>
      </c>
      <c r="D102" s="11" t="n">
        <v>46266</v>
      </c>
      <c r="E102" s="10" t="inlineStr">
        <is>
          <t>Tuesday</t>
        </is>
      </c>
      <c r="F102" s="10" t="inlineStr">
        <is>
          <t>Danny</t>
        </is>
      </c>
      <c r="G102" s="10" t="inlineStr">
        <is>
          <t>Built for what needs an ID check.</t>
        </is>
      </c>
      <c r="H102" s="10" t="inlineStr">
        <is>
          <t>Educate</t>
        </is>
      </c>
      <c r="I102" s="10" t="inlineStr">
        <is>
          <t>Carousel</t>
        </is>
      </c>
      <c r="J102" s="10" t="inlineStr">
        <is>
          <t>LinkedIn</t>
        </is>
      </c>
      <c r="K102" s="10" t="inlineStr">
        <is>
          <t>Adapted</t>
        </is>
      </c>
      <c r="L102" s="10" t="inlineStr">
        <is>
          <t>The liquor-store feature bundle</t>
        </is>
      </c>
      <c r="M102" s="10" t="inlineStr">
        <is>
          <t>Book a demo</t>
        </is>
      </c>
      <c r="N102" s="10" t="inlineStr">
        <is>
          <t>No</t>
        </is>
      </c>
      <c r="O102" s="10" t="inlineStr">
        <is>
          <t>No</t>
        </is>
      </c>
      <c r="P102" s="10" t="inlineStr">
        <is>
          <t>Not started</t>
        </is>
      </c>
      <c r="Q102" s="10" t="inlineStr">
        <is>
          <t>Not started</t>
        </is>
      </c>
      <c r="R102" s="10" t="inlineStr"/>
      <c r="S102" s="10" t="inlineStr"/>
      <c r="T102" s="10" t="inlineStr"/>
      <c r="U102" s="10" t="n"/>
      <c r="V102" s="10">
        <f>IF(U102="","",IF(U102&gt;=70,"Pass","Hold"))</f>
        <v/>
      </c>
      <c r="W102" s="11" t="n">
        <v>46266</v>
      </c>
      <c r="X102" s="10" t="inlineStr">
        <is>
          <t>10:00 AM</t>
        </is>
      </c>
      <c r="Y102" s="10" t="inlineStr">
        <is>
          <t>Scheduled</t>
        </is>
      </c>
      <c r="Z102" s="11" t="n"/>
      <c r="AA102" s="10" t="inlineStr"/>
      <c r="AB102" s="10" t="inlineStr"/>
      <c r="AC102" s="10" t="n"/>
      <c r="AD102" s="10" t="n"/>
      <c r="AE102" s="10" t="n"/>
      <c r="AF102" s="10" t="n"/>
      <c r="AG102" s="10" t="n"/>
      <c r="AH102" s="10" t="n"/>
      <c r="AI102" s="10" t="n"/>
      <c r="AJ102" s="10" t="n"/>
      <c r="AK102" s="10" t="n"/>
      <c r="AL102" s="10" t="n"/>
      <c r="AM102" s="10" t="inlineStr">
        <is>
          <t>No</t>
        </is>
      </c>
      <c r="AN102" s="10" t="n"/>
      <c r="AO102" s="10" t="n"/>
      <c r="AP102" s="10">
        <f>IF(AND(AC102&lt;&gt;"",AO102&lt;&gt;"",AO102&gt;0),AC102/AO102,"")</f>
        <v/>
      </c>
      <c r="AQ102" s="10">
        <f>IF(AP102="","",IF(AP102&gt;=2,"A",IF(AP102&gt;=1.2,"B",IF(AP102&gt;=0.6,"C","D"))))</f>
        <v/>
      </c>
      <c r="AR102" s="10" t="inlineStr"/>
      <c r="AS102" s="11" t="inlineStr"/>
      <c r="AT102" s="10" t="inlineStr"/>
    </row>
    <row r="103">
      <c r="A103" s="10" t="inlineStr">
        <is>
          <t>W05-U3-TI</t>
        </is>
      </c>
      <c r="B103" s="10" t="inlineStr">
        <is>
          <t>W05-U3</t>
        </is>
      </c>
      <c r="C103" s="10" t="n">
        <v>5</v>
      </c>
      <c r="D103" s="11" t="n">
        <v>46267</v>
      </c>
      <c r="E103" s="10" t="inlineStr">
        <is>
          <t>Wednesday</t>
        </is>
      </c>
      <c r="F103" s="10" t="inlineStr">
        <is>
          <t>Danny</t>
        </is>
      </c>
      <c r="G103" s="10" t="inlineStr">
        <is>
          <t>Built for what needs an ID check.</t>
        </is>
      </c>
      <c r="H103" s="10" t="inlineStr">
        <is>
          <t>Promote</t>
        </is>
      </c>
      <c r="I103" s="10" t="inlineStr">
        <is>
          <t>Video</t>
        </is>
      </c>
      <c r="J103" s="10" t="inlineStr">
        <is>
          <t>TikTok</t>
        </is>
      </c>
      <c r="K103" s="10" t="inlineStr">
        <is>
          <t>Primary</t>
        </is>
      </c>
      <c r="L103" s="10" t="inlineStr">
        <is>
          <t>A full shift, liquor edition (teaser)</t>
        </is>
      </c>
      <c r="M103" s="10" t="inlineStr">
        <is>
          <t>Book a demo</t>
        </is>
      </c>
      <c r="N103" s="10" t="inlineStr">
        <is>
          <t>No</t>
        </is>
      </c>
      <c r="O103" s="10" t="inlineStr">
        <is>
          <t>No</t>
        </is>
      </c>
      <c r="P103" s="10" t="inlineStr">
        <is>
          <t>Not started</t>
        </is>
      </c>
      <c r="Q103" s="10" t="inlineStr">
        <is>
          <t>Not started</t>
        </is>
      </c>
      <c r="R103" s="10" t="inlineStr"/>
      <c r="S103" s="10" t="inlineStr"/>
      <c r="T103" s="10" t="inlineStr"/>
      <c r="U103" s="10" t="n"/>
      <c r="V103" s="10">
        <f>IF(U103="","",IF(U103&gt;=70,"Pass","Hold"))</f>
        <v/>
      </c>
      <c r="W103" s="11" t="n">
        <v>46267</v>
      </c>
      <c r="X103" s="10" t="inlineStr">
        <is>
          <t>10:00 AM</t>
        </is>
      </c>
      <c r="Y103" s="10" t="inlineStr">
        <is>
          <t>Scheduled</t>
        </is>
      </c>
      <c r="Z103" s="11" t="n"/>
      <c r="AA103" s="10" t="inlineStr"/>
      <c r="AB103" s="10" t="inlineStr"/>
      <c r="AC103" s="10" t="n"/>
      <c r="AD103" s="10" t="n"/>
      <c r="AE103" s="10" t="n"/>
      <c r="AF103" s="10" t="n"/>
      <c r="AG103" s="10" t="n"/>
      <c r="AH103" s="10" t="n"/>
      <c r="AI103" s="10" t="n"/>
      <c r="AJ103" s="10" t="n"/>
      <c r="AK103" s="10" t="n"/>
      <c r="AL103" s="10" t="n"/>
      <c r="AM103" s="10" t="inlineStr">
        <is>
          <t>No</t>
        </is>
      </c>
      <c r="AN103" s="10" t="n"/>
      <c r="AO103" s="10" t="n"/>
      <c r="AP103" s="10">
        <f>IF(AND(AC103&lt;&gt;"",AO103&lt;&gt;"",AO103&gt;0),AC103/AO103,"")</f>
        <v/>
      </c>
      <c r="AQ103" s="10">
        <f>IF(AP103="","",IF(AP103&gt;=2,"A",IF(AP103&gt;=1.2,"B",IF(AP103&gt;=0.6,"C","D"))))</f>
        <v/>
      </c>
      <c r="AR103" s="10" t="inlineStr"/>
      <c r="AS103" s="11" t="inlineStr"/>
      <c r="AT103" s="10" t="inlineStr"/>
    </row>
    <row r="104">
      <c r="A104" s="10" t="inlineStr">
        <is>
          <t>W05-U3-IN</t>
        </is>
      </c>
      <c r="B104" s="10" t="inlineStr">
        <is>
          <t>W05-U3</t>
        </is>
      </c>
      <c r="C104" s="10" t="n">
        <v>5</v>
      </c>
      <c r="D104" s="11" t="n">
        <v>46267</v>
      </c>
      <c r="E104" s="10" t="inlineStr">
        <is>
          <t>Wednesday</t>
        </is>
      </c>
      <c r="F104" s="10" t="inlineStr">
        <is>
          <t>Danny</t>
        </is>
      </c>
      <c r="G104" s="10" t="inlineStr">
        <is>
          <t>Built for what needs an ID check.</t>
        </is>
      </c>
      <c r="H104" s="10" t="inlineStr">
        <is>
          <t>Promote</t>
        </is>
      </c>
      <c r="I104" s="10" t="inlineStr">
        <is>
          <t>Video</t>
        </is>
      </c>
      <c r="J104" s="10" t="inlineStr">
        <is>
          <t>Instagram</t>
        </is>
      </c>
      <c r="K104" s="10" t="inlineStr">
        <is>
          <t>Mirror</t>
        </is>
      </c>
      <c r="L104" s="10" t="inlineStr">
        <is>
          <t>A full shift, liquor edition (teaser)</t>
        </is>
      </c>
      <c r="M104" s="10" t="inlineStr">
        <is>
          <t>Book a demo</t>
        </is>
      </c>
      <c r="N104" s="10" t="inlineStr">
        <is>
          <t>No</t>
        </is>
      </c>
      <c r="O104" s="10" t="inlineStr">
        <is>
          <t>No</t>
        </is>
      </c>
      <c r="P104" s="10" t="inlineStr">
        <is>
          <t>Not started</t>
        </is>
      </c>
      <c r="Q104" s="10" t="inlineStr">
        <is>
          <t>Not started</t>
        </is>
      </c>
      <c r="R104" s="10" t="inlineStr"/>
      <c r="S104" s="10" t="inlineStr"/>
      <c r="T104" s="10" t="inlineStr"/>
      <c r="U104" s="10" t="n"/>
      <c r="V104" s="10">
        <f>IF(U104="","",IF(U104&gt;=70,"Pass","Hold"))</f>
        <v/>
      </c>
      <c r="W104" s="11" t="n">
        <v>46267</v>
      </c>
      <c r="X104" s="10" t="inlineStr">
        <is>
          <t>10:00 AM</t>
        </is>
      </c>
      <c r="Y104" s="10" t="inlineStr">
        <is>
          <t>Scheduled</t>
        </is>
      </c>
      <c r="Z104" s="11" t="n"/>
      <c r="AA104" s="10" t="inlineStr"/>
      <c r="AB104" s="10" t="inlineStr"/>
      <c r="AC104" s="10" t="n"/>
      <c r="AD104" s="10" t="n"/>
      <c r="AE104" s="10" t="n"/>
      <c r="AF104" s="10" t="n"/>
      <c r="AG104" s="10" t="n"/>
      <c r="AH104" s="10" t="n"/>
      <c r="AI104" s="10" t="n"/>
      <c r="AJ104" s="10" t="n"/>
      <c r="AK104" s="10" t="n"/>
      <c r="AL104" s="10" t="n"/>
      <c r="AM104" s="10" t="inlineStr">
        <is>
          <t>No</t>
        </is>
      </c>
      <c r="AN104" s="10" t="n"/>
      <c r="AO104" s="10" t="n"/>
      <c r="AP104" s="10">
        <f>IF(AND(AC104&lt;&gt;"",AO104&lt;&gt;"",AO104&gt;0),AC104/AO104,"")</f>
        <v/>
      </c>
      <c r="AQ104" s="10">
        <f>IF(AP104="","",IF(AP104&gt;=2,"A",IF(AP104&gt;=1.2,"B",IF(AP104&gt;=0.6,"C","D"))))</f>
        <v/>
      </c>
      <c r="AR104" s="10" t="inlineStr"/>
      <c r="AS104" s="11" t="inlineStr"/>
      <c r="AT104" s="10" t="inlineStr"/>
    </row>
    <row r="105">
      <c r="A105" s="10" t="inlineStr">
        <is>
          <t>W05-U4-LI</t>
        </is>
      </c>
      <c r="B105" s="10" t="inlineStr">
        <is>
          <t>W05-U4</t>
        </is>
      </c>
      <c r="C105" s="10" t="n">
        <v>5</v>
      </c>
      <c r="D105" s="11" t="n">
        <v>46268</v>
      </c>
      <c r="E105" s="10" t="inlineStr">
        <is>
          <t>Thursday</t>
        </is>
      </c>
      <c r="F105" s="10" t="inlineStr">
        <is>
          <t>Danny</t>
        </is>
      </c>
      <c r="G105" s="10" t="inlineStr">
        <is>
          <t>Your regulars, remembered automatically.</t>
        </is>
      </c>
      <c r="H105" s="10" t="inlineStr">
        <is>
          <t>Engage</t>
        </is>
      </c>
      <c r="I105" s="10" t="inlineStr">
        <is>
          <t>Static</t>
        </is>
      </c>
      <c r="J105" s="10" t="inlineStr">
        <is>
          <t>LinkedIn</t>
        </is>
      </c>
      <c r="K105" s="10" t="inlineStr">
        <is>
          <t>Primary</t>
        </is>
      </c>
      <c r="L105" s="10" t="inlineStr">
        <is>
          <t>‘I already know my regulars’</t>
        </is>
      </c>
      <c r="M105" s="10" t="inlineStr">
        <is>
          <t>Book a demo</t>
        </is>
      </c>
      <c r="N105" s="10" t="inlineStr">
        <is>
          <t>No</t>
        </is>
      </c>
      <c r="O105" s="10" t="inlineStr">
        <is>
          <t>No</t>
        </is>
      </c>
      <c r="P105" s="10" t="inlineStr">
        <is>
          <t>Not started</t>
        </is>
      </c>
      <c r="Q105" s="10" t="inlineStr">
        <is>
          <t>Not started</t>
        </is>
      </c>
      <c r="R105" s="10" t="inlineStr"/>
      <c r="S105" s="10" t="inlineStr"/>
      <c r="T105" s="10" t="inlineStr"/>
      <c r="U105" s="10" t="n"/>
      <c r="V105" s="10">
        <f>IF(U105="","",IF(U105&gt;=70,"Pass","Hold"))</f>
        <v/>
      </c>
      <c r="W105" s="11" t="n">
        <v>46268</v>
      </c>
      <c r="X105" s="10" t="inlineStr">
        <is>
          <t>10:00 AM</t>
        </is>
      </c>
      <c r="Y105" s="10" t="inlineStr">
        <is>
          <t>Scheduled</t>
        </is>
      </c>
      <c r="Z105" s="11" t="n"/>
      <c r="AA105" s="10" t="inlineStr"/>
      <c r="AB105" s="10" t="inlineStr"/>
      <c r="AC105" s="10" t="n"/>
      <c r="AD105" s="10" t="n"/>
      <c r="AE105" s="10" t="n"/>
      <c r="AF105" s="10" t="n"/>
      <c r="AG105" s="10" t="n"/>
      <c r="AH105" s="10" t="n"/>
      <c r="AI105" s="10" t="n"/>
      <c r="AJ105" s="10" t="n"/>
      <c r="AK105" s="10" t="n"/>
      <c r="AL105" s="10" t="n"/>
      <c r="AM105" s="10" t="inlineStr">
        <is>
          <t>No</t>
        </is>
      </c>
      <c r="AN105" s="10" t="n"/>
      <c r="AO105" s="10" t="n"/>
      <c r="AP105" s="10">
        <f>IF(AND(AC105&lt;&gt;"",AO105&lt;&gt;"",AO105&gt;0),AC105/AO105,"")</f>
        <v/>
      </c>
      <c r="AQ105" s="10">
        <f>IF(AP105="","",IF(AP105&gt;=2,"A",IF(AP105&gt;=1.2,"B",IF(AP105&gt;=0.6,"C","D"))))</f>
        <v/>
      </c>
      <c r="AR105" s="10" t="inlineStr"/>
      <c r="AS105" s="11" t="inlineStr"/>
      <c r="AT105" s="10" t="inlineStr"/>
    </row>
    <row r="106">
      <c r="A106" s="10" t="inlineStr">
        <is>
          <t>W05-U4-FA</t>
        </is>
      </c>
      <c r="B106" s="10" t="inlineStr">
        <is>
          <t>W05-U4</t>
        </is>
      </c>
      <c r="C106" s="10" t="n">
        <v>5</v>
      </c>
      <c r="D106" s="11" t="n">
        <v>46268</v>
      </c>
      <c r="E106" s="10" t="inlineStr">
        <is>
          <t>Thursday</t>
        </is>
      </c>
      <c r="F106" s="10" t="inlineStr">
        <is>
          <t>Danny</t>
        </is>
      </c>
      <c r="G106" s="10" t="inlineStr">
        <is>
          <t>Your regulars, remembered automatically.</t>
        </is>
      </c>
      <c r="H106" s="10" t="inlineStr">
        <is>
          <t>Engage</t>
        </is>
      </c>
      <c r="I106" s="10" t="inlineStr">
        <is>
          <t>Static</t>
        </is>
      </c>
      <c r="J106" s="10" t="inlineStr">
        <is>
          <t>Facebook</t>
        </is>
      </c>
      <c r="K106" s="10" t="inlineStr">
        <is>
          <t>Mirror</t>
        </is>
      </c>
      <c r="L106" s="10" t="inlineStr">
        <is>
          <t>‘I already know my regulars’</t>
        </is>
      </c>
      <c r="M106" s="10" t="inlineStr">
        <is>
          <t>Book a demo</t>
        </is>
      </c>
      <c r="N106" s="10" t="inlineStr">
        <is>
          <t>No</t>
        </is>
      </c>
      <c r="O106" s="10" t="inlineStr">
        <is>
          <t>No</t>
        </is>
      </c>
      <c r="P106" s="10" t="inlineStr">
        <is>
          <t>Not started</t>
        </is>
      </c>
      <c r="Q106" s="10" t="inlineStr">
        <is>
          <t>Not started</t>
        </is>
      </c>
      <c r="R106" s="10" t="inlineStr"/>
      <c r="S106" s="10" t="inlineStr"/>
      <c r="T106" s="10" t="inlineStr"/>
      <c r="U106" s="10" t="n"/>
      <c r="V106" s="10">
        <f>IF(U106="","",IF(U106&gt;=70,"Pass","Hold"))</f>
        <v/>
      </c>
      <c r="W106" s="11" t="n">
        <v>46268</v>
      </c>
      <c r="X106" s="10" t="inlineStr">
        <is>
          <t>10:00 AM</t>
        </is>
      </c>
      <c r="Y106" s="10" t="inlineStr">
        <is>
          <t>Scheduled</t>
        </is>
      </c>
      <c r="Z106" s="11" t="n"/>
      <c r="AA106" s="10" t="inlineStr"/>
      <c r="AB106" s="10" t="inlineStr"/>
      <c r="AC106" s="10" t="n"/>
      <c r="AD106" s="10" t="n"/>
      <c r="AE106" s="10" t="n"/>
      <c r="AF106" s="10" t="n"/>
      <c r="AG106" s="10" t="n"/>
      <c r="AH106" s="10" t="n"/>
      <c r="AI106" s="10" t="n"/>
      <c r="AJ106" s="10" t="n"/>
      <c r="AK106" s="10" t="n"/>
      <c r="AL106" s="10" t="n"/>
      <c r="AM106" s="10" t="inlineStr">
        <is>
          <t>No</t>
        </is>
      </c>
      <c r="AN106" s="10" t="n"/>
      <c r="AO106" s="10" t="n"/>
      <c r="AP106" s="10">
        <f>IF(AND(AC106&lt;&gt;"",AO106&lt;&gt;"",AO106&gt;0),AC106/AO106,"")</f>
        <v/>
      </c>
      <c r="AQ106" s="10">
        <f>IF(AP106="","",IF(AP106&gt;=2,"A",IF(AP106&gt;=1.2,"B",IF(AP106&gt;=0.6,"C","D"))))</f>
        <v/>
      </c>
      <c r="AR106" s="10" t="inlineStr"/>
      <c r="AS106" s="11" t="inlineStr"/>
      <c r="AT106" s="10" t="inlineStr"/>
    </row>
    <row r="107">
      <c r="A107" s="10" t="inlineStr">
        <is>
          <t>W05-U4-IN</t>
        </is>
      </c>
      <c r="B107" s="10" t="inlineStr">
        <is>
          <t>W05-U4</t>
        </is>
      </c>
      <c r="C107" s="10" t="n">
        <v>5</v>
      </c>
      <c r="D107" s="11" t="n">
        <v>46268</v>
      </c>
      <c r="E107" s="10" t="inlineStr">
        <is>
          <t>Thursday</t>
        </is>
      </c>
      <c r="F107" s="10" t="inlineStr">
        <is>
          <t>Danny</t>
        </is>
      </c>
      <c r="G107" s="10" t="inlineStr">
        <is>
          <t>Your regulars, remembered automatically.</t>
        </is>
      </c>
      <c r="H107" s="10" t="inlineStr">
        <is>
          <t>Engage</t>
        </is>
      </c>
      <c r="I107" s="10" t="inlineStr">
        <is>
          <t>Static</t>
        </is>
      </c>
      <c r="J107" s="10" t="inlineStr">
        <is>
          <t>Instagram</t>
        </is>
      </c>
      <c r="K107" s="10" t="inlineStr">
        <is>
          <t>Adapted</t>
        </is>
      </c>
      <c r="L107" s="10" t="inlineStr">
        <is>
          <t>‘I already know my regulars’</t>
        </is>
      </c>
      <c r="M107" s="10" t="inlineStr">
        <is>
          <t>Book a demo</t>
        </is>
      </c>
      <c r="N107" s="10" t="inlineStr">
        <is>
          <t>No</t>
        </is>
      </c>
      <c r="O107" s="10" t="inlineStr">
        <is>
          <t>No</t>
        </is>
      </c>
      <c r="P107" s="10" t="inlineStr">
        <is>
          <t>Not started</t>
        </is>
      </c>
      <c r="Q107" s="10" t="inlineStr">
        <is>
          <t>Not started</t>
        </is>
      </c>
      <c r="R107" s="10" t="inlineStr"/>
      <c r="S107" s="10" t="inlineStr"/>
      <c r="T107" s="10" t="inlineStr"/>
      <c r="U107" s="10" t="n"/>
      <c r="V107" s="10">
        <f>IF(U107="","",IF(U107&gt;=70,"Pass","Hold"))</f>
        <v/>
      </c>
      <c r="W107" s="11" t="n">
        <v>46268</v>
      </c>
      <c r="X107" s="10" t="inlineStr">
        <is>
          <t>10:00 AM</t>
        </is>
      </c>
      <c r="Y107" s="10" t="inlineStr">
        <is>
          <t>Scheduled</t>
        </is>
      </c>
      <c r="Z107" s="11" t="n"/>
      <c r="AA107" s="10" t="inlineStr"/>
      <c r="AB107" s="10" t="inlineStr"/>
      <c r="AC107" s="10" t="n"/>
      <c r="AD107" s="10" t="n"/>
      <c r="AE107" s="10" t="n"/>
      <c r="AF107" s="10" t="n"/>
      <c r="AG107" s="10" t="n"/>
      <c r="AH107" s="10" t="n"/>
      <c r="AI107" s="10" t="n"/>
      <c r="AJ107" s="10" t="n"/>
      <c r="AK107" s="10" t="n"/>
      <c r="AL107" s="10" t="n"/>
      <c r="AM107" s="10" t="inlineStr">
        <is>
          <t>No</t>
        </is>
      </c>
      <c r="AN107" s="10" t="n"/>
      <c r="AO107" s="10" t="n"/>
      <c r="AP107" s="10">
        <f>IF(AND(AC107&lt;&gt;"",AO107&lt;&gt;"",AO107&gt;0),AC107/AO107,"")</f>
        <v/>
      </c>
      <c r="AQ107" s="10">
        <f>IF(AP107="","",IF(AP107&gt;=2,"A",IF(AP107&gt;=1.2,"B",IF(AP107&gt;=0.6,"C","D"))))</f>
        <v/>
      </c>
      <c r="AR107" s="10" t="inlineStr"/>
      <c r="AS107" s="11" t="inlineStr"/>
      <c r="AT107" s="10" t="inlineStr"/>
    </row>
    <row r="108">
      <c r="A108" s="10" t="inlineStr">
        <is>
          <t>W05-U5-IN</t>
        </is>
      </c>
      <c r="B108" s="10" t="inlineStr">
        <is>
          <t>W05-U5</t>
        </is>
      </c>
      <c r="C108" s="10" t="n">
        <v>5</v>
      </c>
      <c r="D108" s="11" t="n">
        <v>46269</v>
      </c>
      <c r="E108" s="10" t="inlineStr">
        <is>
          <t>Friday</t>
        </is>
      </c>
      <c r="F108" s="10" t="inlineStr">
        <is>
          <t>Danny</t>
        </is>
      </c>
      <c r="G108" s="10" t="inlineStr">
        <is>
          <t>Built for what needs an ID check.</t>
        </is>
      </c>
      <c r="H108" s="10" t="inlineStr">
        <is>
          <t>Engage</t>
        </is>
      </c>
      <c r="I108" s="10" t="inlineStr">
        <is>
          <t>Text</t>
        </is>
      </c>
      <c r="J108" s="10" t="inlineStr">
        <is>
          <t>Instagram</t>
        </is>
      </c>
      <c r="K108" s="10" t="inlineStr">
        <is>
          <t>Primary</t>
        </is>
      </c>
      <c r="L108" s="10" t="inlineStr">
        <is>
          <t>Liquor owners: what's your current setup?</t>
        </is>
      </c>
      <c r="M108" s="10" t="inlineStr">
        <is>
          <t>Engage (vote)</t>
        </is>
      </c>
      <c r="N108" s="10" t="inlineStr">
        <is>
          <t>No</t>
        </is>
      </c>
      <c r="O108" s="10" t="inlineStr">
        <is>
          <t>No</t>
        </is>
      </c>
      <c r="P108" s="10" t="inlineStr">
        <is>
          <t>Not started</t>
        </is>
      </c>
      <c r="Q108" s="10" t="inlineStr">
        <is>
          <t>Not started</t>
        </is>
      </c>
      <c r="R108" s="10" t="inlineStr"/>
      <c r="S108" s="10" t="inlineStr"/>
      <c r="T108" s="10" t="inlineStr"/>
      <c r="U108" s="10" t="n"/>
      <c r="V108" s="10">
        <f>IF(U108="","",IF(U108&gt;=70,"Pass","Hold"))</f>
        <v/>
      </c>
      <c r="W108" s="11" t="n">
        <v>46269</v>
      </c>
      <c r="X108" s="10" t="inlineStr">
        <is>
          <t>10:00 AM</t>
        </is>
      </c>
      <c r="Y108" s="10" t="inlineStr">
        <is>
          <t>Scheduled</t>
        </is>
      </c>
      <c r="Z108" s="11" t="n"/>
      <c r="AA108" s="10" t="inlineStr"/>
      <c r="AB108" s="10" t="inlineStr"/>
      <c r="AC108" s="10" t="n"/>
      <c r="AD108" s="10" t="n"/>
      <c r="AE108" s="10" t="n"/>
      <c r="AF108" s="10" t="n"/>
      <c r="AG108" s="10" t="n"/>
      <c r="AH108" s="10" t="n"/>
      <c r="AI108" s="10" t="n"/>
      <c r="AJ108" s="10" t="n"/>
      <c r="AK108" s="10" t="n"/>
      <c r="AL108" s="10" t="n"/>
      <c r="AM108" s="10" t="inlineStr">
        <is>
          <t>No</t>
        </is>
      </c>
      <c r="AN108" s="10" t="n"/>
      <c r="AO108" s="10" t="n"/>
      <c r="AP108" s="10">
        <f>IF(AND(AC108&lt;&gt;"",AO108&lt;&gt;"",AO108&gt;0),AC108/AO108,"")</f>
        <v/>
      </c>
      <c r="AQ108" s="10">
        <f>IF(AP108="","",IF(AP108&gt;=2,"A",IF(AP108&gt;=1.2,"B",IF(AP108&gt;=0.6,"C","D"))))</f>
        <v/>
      </c>
      <c r="AR108" s="10" t="inlineStr"/>
      <c r="AS108" s="11" t="inlineStr"/>
      <c r="AT108" s="10" t="inlineStr"/>
    </row>
    <row r="109">
      <c r="A109" s="10" t="inlineStr">
        <is>
          <t>W05-U5-LI</t>
        </is>
      </c>
      <c r="B109" s="10" t="inlineStr">
        <is>
          <t>W05-U5</t>
        </is>
      </c>
      <c r="C109" s="10" t="n">
        <v>5</v>
      </c>
      <c r="D109" s="11" t="n">
        <v>46269</v>
      </c>
      <c r="E109" s="10" t="inlineStr">
        <is>
          <t>Friday</t>
        </is>
      </c>
      <c r="F109" s="10" t="inlineStr">
        <is>
          <t>Danny</t>
        </is>
      </c>
      <c r="G109" s="10" t="inlineStr">
        <is>
          <t>Built for what needs an ID check.</t>
        </is>
      </c>
      <c r="H109" s="10" t="inlineStr">
        <is>
          <t>Engage</t>
        </is>
      </c>
      <c r="I109" s="10" t="inlineStr">
        <is>
          <t>Text</t>
        </is>
      </c>
      <c r="J109" s="10" t="inlineStr">
        <is>
          <t>LinkedIn</t>
        </is>
      </c>
      <c r="K109" s="10" t="inlineStr">
        <is>
          <t>Adapted</t>
        </is>
      </c>
      <c r="L109" s="10" t="inlineStr">
        <is>
          <t>Liquor owners: what's your current setup?</t>
        </is>
      </c>
      <c r="M109" s="10" t="inlineStr">
        <is>
          <t>Engage (vote)</t>
        </is>
      </c>
      <c r="N109" s="10" t="inlineStr">
        <is>
          <t>No</t>
        </is>
      </c>
      <c r="O109" s="10" t="inlineStr">
        <is>
          <t>No</t>
        </is>
      </c>
      <c r="P109" s="10" t="inlineStr">
        <is>
          <t>Not started</t>
        </is>
      </c>
      <c r="Q109" s="10" t="inlineStr">
        <is>
          <t>Not started</t>
        </is>
      </c>
      <c r="R109" s="10" t="inlineStr"/>
      <c r="S109" s="10" t="inlineStr"/>
      <c r="T109" s="10" t="inlineStr"/>
      <c r="U109" s="10" t="n"/>
      <c r="V109" s="10">
        <f>IF(U109="","",IF(U109&gt;=70,"Pass","Hold"))</f>
        <v/>
      </c>
      <c r="W109" s="11" t="n">
        <v>46269</v>
      </c>
      <c r="X109" s="10" t="inlineStr">
        <is>
          <t>10:00 AM</t>
        </is>
      </c>
      <c r="Y109" s="10" t="inlineStr">
        <is>
          <t>Scheduled</t>
        </is>
      </c>
      <c r="Z109" s="11" t="n"/>
      <c r="AA109" s="10" t="inlineStr"/>
      <c r="AB109" s="10" t="inlineStr"/>
      <c r="AC109" s="10" t="n"/>
      <c r="AD109" s="10" t="n"/>
      <c r="AE109" s="10" t="n"/>
      <c r="AF109" s="10" t="n"/>
      <c r="AG109" s="10" t="n"/>
      <c r="AH109" s="10" t="n"/>
      <c r="AI109" s="10" t="n"/>
      <c r="AJ109" s="10" t="n"/>
      <c r="AK109" s="10" t="n"/>
      <c r="AL109" s="10" t="n"/>
      <c r="AM109" s="10" t="inlineStr">
        <is>
          <t>No</t>
        </is>
      </c>
      <c r="AN109" s="10" t="n"/>
      <c r="AO109" s="10" t="n"/>
      <c r="AP109" s="10">
        <f>IF(AND(AC109&lt;&gt;"",AO109&lt;&gt;"",AO109&gt;0),AC109/AO109,"")</f>
        <v/>
      </c>
      <c r="AQ109" s="10">
        <f>IF(AP109="","",IF(AP109&gt;=2,"A",IF(AP109&gt;=1.2,"B",IF(AP109&gt;=0.6,"C","D"))))</f>
        <v/>
      </c>
      <c r="AR109" s="10" t="inlineStr"/>
      <c r="AS109" s="11" t="inlineStr"/>
      <c r="AT109" s="10" t="inlineStr"/>
    </row>
    <row r="110">
      <c r="A110" s="10" t="inlineStr">
        <is>
          <t>W05-U6-IN</t>
        </is>
      </c>
      <c r="B110" s="10" t="inlineStr">
        <is>
          <t>W05-U6</t>
        </is>
      </c>
      <c r="C110" s="10" t="n">
        <v>5</v>
      </c>
      <c r="D110" s="11" t="n">
        <v>46270</v>
      </c>
      <c r="E110" s="10" t="inlineStr">
        <is>
          <t>Saturday</t>
        </is>
      </c>
      <c r="F110" s="10" t="inlineStr">
        <is>
          <t>Danny</t>
        </is>
      </c>
      <c r="G110" s="10" t="inlineStr">
        <is>
          <t>Your regulars, remembered automatically.</t>
        </is>
      </c>
      <c r="H110" s="10" t="inlineStr">
        <is>
          <t>Inspire</t>
        </is>
      </c>
      <c r="I110" s="10" t="inlineStr">
        <is>
          <t>Static</t>
        </is>
      </c>
      <c r="J110" s="10" t="inlineStr">
        <is>
          <t>Instagram</t>
        </is>
      </c>
      <c r="K110" s="10" t="inlineStr">
        <is>
          <t>Primary</t>
        </is>
      </c>
      <c r="L110" s="10" t="inlineStr">
        <is>
          <t>A liquor-owner's voice</t>
        </is>
      </c>
      <c r="M110" s="10" t="inlineStr">
        <is>
          <t>Book a demo</t>
        </is>
      </c>
      <c r="N110" s="10" t="inlineStr">
        <is>
          <t>No</t>
        </is>
      </c>
      <c r="O110" s="10" t="inlineStr">
        <is>
          <t>No</t>
        </is>
      </c>
      <c r="P110" s="10" t="inlineStr">
        <is>
          <t>Not started</t>
        </is>
      </c>
      <c r="Q110" s="10" t="inlineStr">
        <is>
          <t>Not started</t>
        </is>
      </c>
      <c r="R110" s="10" t="inlineStr"/>
      <c r="S110" s="10" t="inlineStr"/>
      <c r="T110" s="10" t="inlineStr"/>
      <c r="U110" s="10" t="n"/>
      <c r="V110" s="10">
        <f>IF(U110="","",IF(U110&gt;=70,"Pass","Hold"))</f>
        <v/>
      </c>
      <c r="W110" s="11" t="n">
        <v>46270</v>
      </c>
      <c r="X110" s="10" t="inlineStr">
        <is>
          <t>10:00 AM</t>
        </is>
      </c>
      <c r="Y110" s="10" t="inlineStr">
        <is>
          <t>Scheduled</t>
        </is>
      </c>
      <c r="Z110" s="11" t="n"/>
      <c r="AA110" s="10" t="inlineStr"/>
      <c r="AB110" s="10" t="inlineStr"/>
      <c r="AC110" s="10" t="n"/>
      <c r="AD110" s="10" t="n"/>
      <c r="AE110" s="10" t="n"/>
      <c r="AF110" s="10" t="n"/>
      <c r="AG110" s="10" t="n"/>
      <c r="AH110" s="10" t="n"/>
      <c r="AI110" s="10" t="n"/>
      <c r="AJ110" s="10" t="n"/>
      <c r="AK110" s="10" t="n"/>
      <c r="AL110" s="10" t="n"/>
      <c r="AM110" s="10" t="inlineStr">
        <is>
          <t>No</t>
        </is>
      </c>
      <c r="AN110" s="10" t="n"/>
      <c r="AO110" s="10" t="n"/>
      <c r="AP110" s="10">
        <f>IF(AND(AC110&lt;&gt;"",AO110&lt;&gt;"",AO110&gt;0),AC110/AO110,"")</f>
        <v/>
      </c>
      <c r="AQ110" s="10">
        <f>IF(AP110="","",IF(AP110&gt;=2,"A",IF(AP110&gt;=1.2,"B",IF(AP110&gt;=0.6,"C","D"))))</f>
        <v/>
      </c>
      <c r="AR110" s="10" t="inlineStr"/>
      <c r="AS110" s="11" t="inlineStr"/>
      <c r="AT110" s="10" t="inlineStr"/>
    </row>
    <row r="111">
      <c r="A111" s="10" t="inlineStr">
        <is>
          <t>W05-U6-FA</t>
        </is>
      </c>
      <c r="B111" s="10" t="inlineStr">
        <is>
          <t>W05-U6</t>
        </is>
      </c>
      <c r="C111" s="10" t="n">
        <v>5</v>
      </c>
      <c r="D111" s="11" t="n">
        <v>46270</v>
      </c>
      <c r="E111" s="10" t="inlineStr">
        <is>
          <t>Saturday</t>
        </is>
      </c>
      <c r="F111" s="10" t="inlineStr">
        <is>
          <t>Danny</t>
        </is>
      </c>
      <c r="G111" s="10" t="inlineStr">
        <is>
          <t>Your regulars, remembered automatically.</t>
        </is>
      </c>
      <c r="H111" s="10" t="inlineStr">
        <is>
          <t>Inspire</t>
        </is>
      </c>
      <c r="I111" s="10" t="inlineStr">
        <is>
          <t>Static</t>
        </is>
      </c>
      <c r="J111" s="10" t="inlineStr">
        <is>
          <t>Facebook</t>
        </is>
      </c>
      <c r="K111" s="10" t="inlineStr">
        <is>
          <t>Mirror</t>
        </is>
      </c>
      <c r="L111" s="10" t="inlineStr">
        <is>
          <t>A liquor-owner's voice</t>
        </is>
      </c>
      <c r="M111" s="10" t="inlineStr">
        <is>
          <t>Book a demo</t>
        </is>
      </c>
      <c r="N111" s="10" t="inlineStr">
        <is>
          <t>No</t>
        </is>
      </c>
      <c r="O111" s="10" t="inlineStr">
        <is>
          <t>No</t>
        </is>
      </c>
      <c r="P111" s="10" t="inlineStr">
        <is>
          <t>Not started</t>
        </is>
      </c>
      <c r="Q111" s="10" t="inlineStr">
        <is>
          <t>Not started</t>
        </is>
      </c>
      <c r="R111" s="10" t="inlineStr"/>
      <c r="S111" s="10" t="inlineStr"/>
      <c r="T111" s="10" t="inlineStr"/>
      <c r="U111" s="10" t="n"/>
      <c r="V111" s="10">
        <f>IF(U111="","",IF(U111&gt;=70,"Pass","Hold"))</f>
        <v/>
      </c>
      <c r="W111" s="11" t="n">
        <v>46270</v>
      </c>
      <c r="X111" s="10" t="inlineStr">
        <is>
          <t>10:00 AM</t>
        </is>
      </c>
      <c r="Y111" s="10" t="inlineStr">
        <is>
          <t>Scheduled</t>
        </is>
      </c>
      <c r="Z111" s="11" t="n"/>
      <c r="AA111" s="10" t="inlineStr"/>
      <c r="AB111" s="10" t="inlineStr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inlineStr">
        <is>
          <t>No</t>
        </is>
      </c>
      <c r="AN111" s="10" t="n"/>
      <c r="AO111" s="10" t="n"/>
      <c r="AP111" s="10">
        <f>IF(AND(AC111&lt;&gt;"",AO111&lt;&gt;"",AO111&gt;0),AC111/AO111,"")</f>
        <v/>
      </c>
      <c r="AQ111" s="10">
        <f>IF(AP111="","",IF(AP111&gt;=2,"A",IF(AP111&gt;=1.2,"B",IF(AP111&gt;=0.6,"C","D"))))</f>
        <v/>
      </c>
      <c r="AR111" s="10" t="inlineStr"/>
      <c r="AS111" s="11" t="inlineStr"/>
      <c r="AT111" s="10" t="inlineStr"/>
    </row>
    <row r="112">
      <c r="A112" s="10" t="inlineStr">
        <is>
          <t>W05-U6-X</t>
        </is>
      </c>
      <c r="B112" s="10" t="inlineStr">
        <is>
          <t>W05-U6</t>
        </is>
      </c>
      <c r="C112" s="10" t="n">
        <v>5</v>
      </c>
      <c r="D112" s="11" t="n">
        <v>46270</v>
      </c>
      <c r="E112" s="10" t="inlineStr">
        <is>
          <t>Saturday</t>
        </is>
      </c>
      <c r="F112" s="10" t="inlineStr">
        <is>
          <t>Danny</t>
        </is>
      </c>
      <c r="G112" s="10" t="inlineStr">
        <is>
          <t>Your regulars, remembered automatically.</t>
        </is>
      </c>
      <c r="H112" s="10" t="inlineStr">
        <is>
          <t>Inspire</t>
        </is>
      </c>
      <c r="I112" s="10" t="inlineStr">
        <is>
          <t>Static</t>
        </is>
      </c>
      <c r="J112" s="10" t="inlineStr">
        <is>
          <t>X</t>
        </is>
      </c>
      <c r="K112" s="10" t="inlineStr">
        <is>
          <t>Mirror</t>
        </is>
      </c>
      <c r="L112" s="10" t="inlineStr">
        <is>
          <t>A liquor-owner's voice</t>
        </is>
      </c>
      <c r="M112" s="10" t="inlineStr">
        <is>
          <t>Book a demo</t>
        </is>
      </c>
      <c r="N112" s="10" t="inlineStr">
        <is>
          <t>No</t>
        </is>
      </c>
      <c r="O112" s="10" t="inlineStr">
        <is>
          <t>No</t>
        </is>
      </c>
      <c r="P112" s="10" t="inlineStr">
        <is>
          <t>Not started</t>
        </is>
      </c>
      <c r="Q112" s="10" t="inlineStr">
        <is>
          <t>Not started</t>
        </is>
      </c>
      <c r="R112" s="10" t="inlineStr"/>
      <c r="S112" s="10" t="inlineStr"/>
      <c r="T112" s="10" t="inlineStr"/>
      <c r="U112" s="10" t="n"/>
      <c r="V112" s="10">
        <f>IF(U112="","",IF(U112&gt;=70,"Pass","Hold"))</f>
        <v/>
      </c>
      <c r="W112" s="11" t="n">
        <v>46270</v>
      </c>
      <c r="X112" s="10" t="inlineStr">
        <is>
          <t>10:00 AM</t>
        </is>
      </c>
      <c r="Y112" s="10" t="inlineStr">
        <is>
          <t>Scheduled</t>
        </is>
      </c>
      <c r="Z112" s="11" t="n"/>
      <c r="AA112" s="10" t="inlineStr"/>
      <c r="AB112" s="10" t="inlineStr"/>
      <c r="AC112" s="10" t="n"/>
      <c r="AD112" s="10" t="n"/>
      <c r="AE112" s="10" t="n"/>
      <c r="AF112" s="10" t="n"/>
      <c r="AG112" s="10" t="n"/>
      <c r="AH112" s="10" t="n"/>
      <c r="AI112" s="10" t="n"/>
      <c r="AJ112" s="10" t="n"/>
      <c r="AK112" s="10" t="n"/>
      <c r="AL112" s="10" t="n"/>
      <c r="AM112" s="10" t="inlineStr">
        <is>
          <t>No</t>
        </is>
      </c>
      <c r="AN112" s="10" t="n"/>
      <c r="AO112" s="10" t="n"/>
      <c r="AP112" s="10">
        <f>IF(AND(AC112&lt;&gt;"",AO112&lt;&gt;"",AO112&gt;0),AC112/AO112,"")</f>
        <v/>
      </c>
      <c r="AQ112" s="10">
        <f>IF(AP112="","",IF(AP112&gt;=2,"A",IF(AP112&gt;=1.2,"B",IF(AP112&gt;=0.6,"C","D"))))</f>
        <v/>
      </c>
      <c r="AR112" s="10" t="inlineStr"/>
      <c r="AS112" s="11" t="inlineStr"/>
      <c r="AT112" s="10" t="inlineStr"/>
    </row>
    <row r="113">
      <c r="A113" s="10" t="inlineStr">
        <is>
          <t>W06-U1-LI</t>
        </is>
      </c>
      <c r="B113" s="10" t="inlineStr">
        <is>
          <t>W06-U1</t>
        </is>
      </c>
      <c r="C113" s="10" t="n">
        <v>6</v>
      </c>
      <c r="D113" s="11" t="n">
        <v>46272</v>
      </c>
      <c r="E113" s="10" t="inlineStr">
        <is>
          <t>Monday</t>
        </is>
      </c>
      <c r="F113" s="10" t="inlineStr">
        <is>
          <t>Farah</t>
        </is>
      </c>
      <c r="G113" s="10" t="inlineStr">
        <is>
          <t>One system, every register, every location.</t>
        </is>
      </c>
      <c r="H113" s="10" t="inlineStr">
        <is>
          <t>Educate</t>
        </is>
      </c>
      <c r="I113" s="10" t="inlineStr">
        <is>
          <t>Text</t>
        </is>
      </c>
      <c r="J113" s="10" t="inlineStr">
        <is>
          <t>LinkedIn</t>
        </is>
      </c>
      <c r="K113" s="10" t="inlineStr">
        <is>
          <t>Primary</t>
        </is>
      </c>
      <c r="L113" s="10" t="inlineStr">
        <is>
          <t>Convenience store multi-location POS: what breaks at scale</t>
        </is>
      </c>
      <c r="M113" s="10" t="inlineStr">
        <is>
          <t>Read more (link)</t>
        </is>
      </c>
      <c r="N113" s="10" t="inlineStr">
        <is>
          <t>No</t>
        </is>
      </c>
      <c r="O113" s="10" t="inlineStr">
        <is>
          <t>No</t>
        </is>
      </c>
      <c r="P113" s="10" t="inlineStr">
        <is>
          <t>Not started</t>
        </is>
      </c>
      <c r="Q113" s="10" t="inlineStr">
        <is>
          <t>Not started</t>
        </is>
      </c>
      <c r="R113" s="10" t="inlineStr"/>
      <c r="S113" s="10" t="inlineStr"/>
      <c r="T113" s="10" t="inlineStr"/>
      <c r="U113" s="10" t="n"/>
      <c r="V113" s="10">
        <f>IF(U113="","",IF(U113&gt;=70,"Pass","Hold"))</f>
        <v/>
      </c>
      <c r="W113" s="11" t="n">
        <v>46272</v>
      </c>
      <c r="X113" s="10" t="inlineStr">
        <is>
          <t>10:00 AM</t>
        </is>
      </c>
      <c r="Y113" s="10" t="inlineStr">
        <is>
          <t>Scheduled</t>
        </is>
      </c>
      <c r="Z113" s="11" t="n"/>
      <c r="AA113" s="10" t="inlineStr"/>
      <c r="AB113" s="10" t="inlineStr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inlineStr">
        <is>
          <t>No</t>
        </is>
      </c>
      <c r="AN113" s="10" t="n"/>
      <c r="AO113" s="10" t="n"/>
      <c r="AP113" s="10">
        <f>IF(AND(AC113&lt;&gt;"",AO113&lt;&gt;"",AO113&gt;0),AC113/AO113,"")</f>
        <v/>
      </c>
      <c r="AQ113" s="10">
        <f>IF(AP113="","",IF(AP113&gt;=2,"A",IF(AP113&gt;=1.2,"B",IF(AP113&gt;=0.6,"C","D"))))</f>
        <v/>
      </c>
      <c r="AR113" s="10" t="inlineStr"/>
      <c r="AS113" s="11" t="inlineStr"/>
      <c r="AT113" s="10" t="inlineStr"/>
    </row>
    <row r="114">
      <c r="A114" s="10" t="inlineStr">
        <is>
          <t>W06-U1-FA</t>
        </is>
      </c>
      <c r="B114" s="10" t="inlineStr">
        <is>
          <t>W06-U1</t>
        </is>
      </c>
      <c r="C114" s="10" t="n">
        <v>6</v>
      </c>
      <c r="D114" s="11" t="n">
        <v>46272</v>
      </c>
      <c r="E114" s="10" t="inlineStr">
        <is>
          <t>Monday</t>
        </is>
      </c>
      <c r="F114" s="10" t="inlineStr">
        <is>
          <t>Farah</t>
        </is>
      </c>
      <c r="G114" s="10" t="inlineStr">
        <is>
          <t>One system, every register, every location.</t>
        </is>
      </c>
      <c r="H114" s="10" t="inlineStr">
        <is>
          <t>Educate</t>
        </is>
      </c>
      <c r="I114" s="10" t="inlineStr">
        <is>
          <t>Text</t>
        </is>
      </c>
      <c r="J114" s="10" t="inlineStr">
        <is>
          <t>Facebook</t>
        </is>
      </c>
      <c r="K114" s="10" t="inlineStr">
        <is>
          <t>Primary</t>
        </is>
      </c>
      <c r="L114" s="10" t="inlineStr">
        <is>
          <t>Convenience store multi-location POS: what breaks at scale</t>
        </is>
      </c>
      <c r="M114" s="10" t="inlineStr">
        <is>
          <t>Read more (link)</t>
        </is>
      </c>
      <c r="N114" s="10" t="inlineStr">
        <is>
          <t>No</t>
        </is>
      </c>
      <c r="O114" s="10" t="inlineStr">
        <is>
          <t>No</t>
        </is>
      </c>
      <c r="P114" s="10" t="inlineStr">
        <is>
          <t>Not started</t>
        </is>
      </c>
      <c r="Q114" s="10" t="inlineStr">
        <is>
          <t>Not started</t>
        </is>
      </c>
      <c r="R114" s="10" t="inlineStr"/>
      <c r="S114" s="10" t="inlineStr"/>
      <c r="T114" s="10" t="inlineStr"/>
      <c r="U114" s="10" t="n"/>
      <c r="V114" s="10">
        <f>IF(U114="","",IF(U114&gt;=70,"Pass","Hold"))</f>
        <v/>
      </c>
      <c r="W114" s="11" t="n">
        <v>46272</v>
      </c>
      <c r="X114" s="10" t="inlineStr">
        <is>
          <t>10:00 AM</t>
        </is>
      </c>
      <c r="Y114" s="10" t="inlineStr">
        <is>
          <t>Scheduled</t>
        </is>
      </c>
      <c r="Z114" s="11" t="n"/>
      <c r="AA114" s="10" t="inlineStr"/>
      <c r="AB114" s="10" t="inlineStr"/>
      <c r="AC114" s="10" t="n"/>
      <c r="AD114" s="10" t="n"/>
      <c r="AE114" s="10" t="n"/>
      <c r="AF114" s="10" t="n"/>
      <c r="AG114" s="10" t="n"/>
      <c r="AH114" s="10" t="n"/>
      <c r="AI114" s="10" t="n"/>
      <c r="AJ114" s="10" t="n"/>
      <c r="AK114" s="10" t="n"/>
      <c r="AL114" s="10" t="n"/>
      <c r="AM114" s="10" t="inlineStr">
        <is>
          <t>No</t>
        </is>
      </c>
      <c r="AN114" s="10" t="n"/>
      <c r="AO114" s="10" t="n"/>
      <c r="AP114" s="10">
        <f>IF(AND(AC114&lt;&gt;"",AO114&lt;&gt;"",AO114&gt;0),AC114/AO114,"")</f>
        <v/>
      </c>
      <c r="AQ114" s="10">
        <f>IF(AP114="","",IF(AP114&gt;=2,"A",IF(AP114&gt;=1.2,"B",IF(AP114&gt;=0.6,"C","D"))))</f>
        <v/>
      </c>
      <c r="AR114" s="10" t="inlineStr"/>
      <c r="AS114" s="11" t="inlineStr"/>
      <c r="AT114" s="10" t="inlineStr"/>
    </row>
    <row r="115">
      <c r="A115" s="10" t="inlineStr">
        <is>
          <t>W06-U1-BL</t>
        </is>
      </c>
      <c r="B115" s="10" t="inlineStr">
        <is>
          <t>W06-U1</t>
        </is>
      </c>
      <c r="C115" s="10" t="n">
        <v>6</v>
      </c>
      <c r="D115" s="11" t="n">
        <v>46272</v>
      </c>
      <c r="E115" s="10" t="inlineStr">
        <is>
          <t>Monday</t>
        </is>
      </c>
      <c r="F115" s="10" t="inlineStr">
        <is>
          <t>Farah</t>
        </is>
      </c>
      <c r="G115" s="10" t="inlineStr">
        <is>
          <t>One system, every register, every location.</t>
        </is>
      </c>
      <c r="H115" s="10" t="inlineStr">
        <is>
          <t>Educate</t>
        </is>
      </c>
      <c r="I115" s="10" t="inlineStr">
        <is>
          <t>Text</t>
        </is>
      </c>
      <c r="J115" s="10" t="inlineStr">
        <is>
          <t>Blog/SEO</t>
        </is>
      </c>
      <c r="K115" s="10" t="inlineStr">
        <is>
          <t>Primary</t>
        </is>
      </c>
      <c r="L115" s="10" t="inlineStr">
        <is>
          <t>Convenience store multi-location POS: what breaks at scale</t>
        </is>
      </c>
      <c r="M115" s="10" t="inlineStr">
        <is>
          <t>Read more (link)</t>
        </is>
      </c>
      <c r="N115" s="10" t="inlineStr">
        <is>
          <t>No</t>
        </is>
      </c>
      <c r="O115" s="10" t="inlineStr">
        <is>
          <t>No</t>
        </is>
      </c>
      <c r="P115" s="10" t="inlineStr">
        <is>
          <t>Not started</t>
        </is>
      </c>
      <c r="Q115" s="10" t="inlineStr">
        <is>
          <t>Not started</t>
        </is>
      </c>
      <c r="R115" s="10" t="inlineStr"/>
      <c r="S115" s="10" t="inlineStr"/>
      <c r="T115" s="10" t="inlineStr"/>
      <c r="U115" s="10" t="n"/>
      <c r="V115" s="10">
        <f>IF(U115="","",IF(U115&gt;=70,"Pass","Hold"))</f>
        <v/>
      </c>
      <c r="W115" s="11" t="n">
        <v>46272</v>
      </c>
      <c r="X115" s="10" t="inlineStr">
        <is>
          <t>10:00 AM</t>
        </is>
      </c>
      <c r="Y115" s="10" t="inlineStr">
        <is>
          <t>Scheduled</t>
        </is>
      </c>
      <c r="Z115" s="11" t="n"/>
      <c r="AA115" s="10" t="inlineStr"/>
      <c r="AB115" s="10" t="inlineStr"/>
      <c r="AC115" s="10" t="n"/>
      <c r="AD115" s="10" t="n"/>
      <c r="AE115" s="10" t="n"/>
      <c r="AF115" s="10" t="n"/>
      <c r="AG115" s="10" t="n"/>
      <c r="AH115" s="10" t="n"/>
      <c r="AI115" s="10" t="n"/>
      <c r="AJ115" s="10" t="n"/>
      <c r="AK115" s="10" t="n"/>
      <c r="AL115" s="10" t="n"/>
      <c r="AM115" s="10" t="inlineStr">
        <is>
          <t>No</t>
        </is>
      </c>
      <c r="AN115" s="10" t="n"/>
      <c r="AO115" s="10" t="n"/>
      <c r="AP115" s="10">
        <f>IF(AND(AC115&lt;&gt;"",AO115&lt;&gt;"",AO115&gt;0),AC115/AO115,"")</f>
        <v/>
      </c>
      <c r="AQ115" s="10">
        <f>IF(AP115="","",IF(AP115&gt;=2,"A",IF(AP115&gt;=1.2,"B",IF(AP115&gt;=0.6,"C","D"))))</f>
        <v/>
      </c>
      <c r="AR115" s="10" t="inlineStr"/>
      <c r="AS115" s="11" t="inlineStr"/>
      <c r="AT115" s="10" t="inlineStr"/>
    </row>
    <row r="116">
      <c r="A116" s="10" t="inlineStr">
        <is>
          <t>W06-U1-X</t>
        </is>
      </c>
      <c r="B116" s="10" t="inlineStr">
        <is>
          <t>W06-U1</t>
        </is>
      </c>
      <c r="C116" s="10" t="n">
        <v>6</v>
      </c>
      <c r="D116" s="11" t="n">
        <v>46272</v>
      </c>
      <c r="E116" s="10" t="inlineStr">
        <is>
          <t>Monday</t>
        </is>
      </c>
      <c r="F116" s="10" t="inlineStr">
        <is>
          <t>Farah</t>
        </is>
      </c>
      <c r="G116" s="10" t="inlineStr">
        <is>
          <t>One system, every register, every location.</t>
        </is>
      </c>
      <c r="H116" s="10" t="inlineStr">
        <is>
          <t>Educate</t>
        </is>
      </c>
      <c r="I116" s="10" t="inlineStr">
        <is>
          <t>Text</t>
        </is>
      </c>
      <c r="J116" s="10" t="inlineStr">
        <is>
          <t>X</t>
        </is>
      </c>
      <c r="K116" s="10" t="inlineStr">
        <is>
          <t>Mirror</t>
        </is>
      </c>
      <c r="L116" s="10" t="inlineStr">
        <is>
          <t>Convenience store multi-location POS: what breaks at scale</t>
        </is>
      </c>
      <c r="M116" s="10" t="inlineStr">
        <is>
          <t>Read more (link)</t>
        </is>
      </c>
      <c r="N116" s="10" t="inlineStr">
        <is>
          <t>No</t>
        </is>
      </c>
      <c r="O116" s="10" t="inlineStr">
        <is>
          <t>No</t>
        </is>
      </c>
      <c r="P116" s="10" t="inlineStr">
        <is>
          <t>Not started</t>
        </is>
      </c>
      <c r="Q116" s="10" t="inlineStr">
        <is>
          <t>Not started</t>
        </is>
      </c>
      <c r="R116" s="10" t="inlineStr"/>
      <c r="S116" s="10" t="inlineStr"/>
      <c r="T116" s="10" t="inlineStr"/>
      <c r="U116" s="10" t="n"/>
      <c r="V116" s="10">
        <f>IF(U116="","",IF(U116&gt;=70,"Pass","Hold"))</f>
        <v/>
      </c>
      <c r="W116" s="11" t="n">
        <v>46272</v>
      </c>
      <c r="X116" s="10" t="inlineStr">
        <is>
          <t>10:00 AM</t>
        </is>
      </c>
      <c r="Y116" s="10" t="inlineStr">
        <is>
          <t>Scheduled</t>
        </is>
      </c>
      <c r="Z116" s="11" t="n"/>
      <c r="AA116" s="10" t="inlineStr"/>
      <c r="AB116" s="10" t="inlineStr"/>
      <c r="AC116" s="10" t="n"/>
      <c r="AD116" s="10" t="n"/>
      <c r="AE116" s="10" t="n"/>
      <c r="AF116" s="10" t="n"/>
      <c r="AG116" s="10" t="n"/>
      <c r="AH116" s="10" t="n"/>
      <c r="AI116" s="10" t="n"/>
      <c r="AJ116" s="10" t="n"/>
      <c r="AK116" s="10" t="n"/>
      <c r="AL116" s="10" t="n"/>
      <c r="AM116" s="10" t="inlineStr">
        <is>
          <t>No</t>
        </is>
      </c>
      <c r="AN116" s="10" t="n"/>
      <c r="AO116" s="10" t="n"/>
      <c r="AP116" s="10">
        <f>IF(AND(AC116&lt;&gt;"",AO116&lt;&gt;"",AO116&gt;0),AC116/AO116,"")</f>
        <v/>
      </c>
      <c r="AQ116" s="10">
        <f>IF(AP116="","",IF(AP116&gt;=2,"A",IF(AP116&gt;=1.2,"B",IF(AP116&gt;=0.6,"C","D"))))</f>
        <v/>
      </c>
      <c r="AR116" s="10" t="inlineStr"/>
      <c r="AS116" s="11" t="inlineStr"/>
      <c r="AT116" s="10" t="inlineStr"/>
    </row>
    <row r="117">
      <c r="A117" s="10" t="inlineStr">
        <is>
          <t>W06-U2-IN</t>
        </is>
      </c>
      <c r="B117" s="10" t="inlineStr">
        <is>
          <t>W06-U2</t>
        </is>
      </c>
      <c r="C117" s="10" t="n">
        <v>6</v>
      </c>
      <c r="D117" s="11" t="n">
        <v>46273</v>
      </c>
      <c r="E117" s="10" t="inlineStr">
        <is>
          <t>Tuesday</t>
        </is>
      </c>
      <c r="F117" s="10" t="inlineStr">
        <is>
          <t>Farah</t>
        </is>
      </c>
      <c r="G117" s="10" t="inlineStr">
        <is>
          <t>One system, every register, every location.</t>
        </is>
      </c>
      <c r="H117" s="10" t="inlineStr">
        <is>
          <t>Educate</t>
        </is>
      </c>
      <c r="I117" s="10" t="inlineStr">
        <is>
          <t>Carousel</t>
        </is>
      </c>
      <c r="J117" s="10" t="inlineStr">
        <is>
          <t>Instagram</t>
        </is>
      </c>
      <c r="K117" s="10" t="inlineStr">
        <is>
          <t>Primary</t>
        </is>
      </c>
      <c r="L117" s="10" t="inlineStr">
        <is>
          <t>One dashboard, every store</t>
        </is>
      </c>
      <c r="M117" s="10" t="inlineStr">
        <is>
          <t>Book a demo</t>
        </is>
      </c>
      <c r="N117" s="10" t="inlineStr">
        <is>
          <t>No</t>
        </is>
      </c>
      <c r="O117" s="10" t="inlineStr">
        <is>
          <t>No</t>
        </is>
      </c>
      <c r="P117" s="10" t="inlineStr">
        <is>
          <t>Not started</t>
        </is>
      </c>
      <c r="Q117" s="10" t="inlineStr">
        <is>
          <t>Not started</t>
        </is>
      </c>
      <c r="R117" s="10" t="inlineStr"/>
      <c r="S117" s="10" t="inlineStr"/>
      <c r="T117" s="10" t="inlineStr"/>
      <c r="U117" s="10" t="n"/>
      <c r="V117" s="10">
        <f>IF(U117="","",IF(U117&gt;=70,"Pass","Hold"))</f>
        <v/>
      </c>
      <c r="W117" s="11" t="n">
        <v>46273</v>
      </c>
      <c r="X117" s="10" t="inlineStr">
        <is>
          <t>10:00 AM</t>
        </is>
      </c>
      <c r="Y117" s="10" t="inlineStr">
        <is>
          <t>Scheduled</t>
        </is>
      </c>
      <c r="Z117" s="11" t="n"/>
      <c r="AA117" s="10" t="inlineStr"/>
      <c r="AB117" s="10" t="inlineStr"/>
      <c r="AC117" s="10" t="n"/>
      <c r="AD117" s="10" t="n"/>
      <c r="AE117" s="10" t="n"/>
      <c r="AF117" s="10" t="n"/>
      <c r="AG117" s="10" t="n"/>
      <c r="AH117" s="10" t="n"/>
      <c r="AI117" s="10" t="n"/>
      <c r="AJ117" s="10" t="n"/>
      <c r="AK117" s="10" t="n"/>
      <c r="AL117" s="10" t="n"/>
      <c r="AM117" s="10" t="inlineStr">
        <is>
          <t>No</t>
        </is>
      </c>
      <c r="AN117" s="10" t="n"/>
      <c r="AO117" s="10" t="n"/>
      <c r="AP117" s="10">
        <f>IF(AND(AC117&lt;&gt;"",AO117&lt;&gt;"",AO117&gt;0),AC117/AO117,"")</f>
        <v/>
      </c>
      <c r="AQ117" s="10">
        <f>IF(AP117="","",IF(AP117&gt;=2,"A",IF(AP117&gt;=1.2,"B",IF(AP117&gt;=0.6,"C","D"))))</f>
        <v/>
      </c>
      <c r="AR117" s="10" t="inlineStr"/>
      <c r="AS117" s="11" t="inlineStr"/>
      <c r="AT117" s="10" t="inlineStr"/>
    </row>
    <row r="118">
      <c r="A118" s="10" t="inlineStr">
        <is>
          <t>W06-U2-FA</t>
        </is>
      </c>
      <c r="B118" s="10" t="inlineStr">
        <is>
          <t>W06-U2</t>
        </is>
      </c>
      <c r="C118" s="10" t="n">
        <v>6</v>
      </c>
      <c r="D118" s="11" t="n">
        <v>46273</v>
      </c>
      <c r="E118" s="10" t="inlineStr">
        <is>
          <t>Tuesday</t>
        </is>
      </c>
      <c r="F118" s="10" t="inlineStr">
        <is>
          <t>Farah</t>
        </is>
      </c>
      <c r="G118" s="10" t="inlineStr">
        <is>
          <t>One system, every register, every location.</t>
        </is>
      </c>
      <c r="H118" s="10" t="inlineStr">
        <is>
          <t>Educate</t>
        </is>
      </c>
      <c r="I118" s="10" t="inlineStr">
        <is>
          <t>Carousel</t>
        </is>
      </c>
      <c r="J118" s="10" t="inlineStr">
        <is>
          <t>Facebook</t>
        </is>
      </c>
      <c r="K118" s="10" t="inlineStr">
        <is>
          <t>Mirror</t>
        </is>
      </c>
      <c r="L118" s="10" t="inlineStr">
        <is>
          <t>One dashboard, every store</t>
        </is>
      </c>
      <c r="M118" s="10" t="inlineStr">
        <is>
          <t>Book a demo</t>
        </is>
      </c>
      <c r="N118" s="10" t="inlineStr">
        <is>
          <t>No</t>
        </is>
      </c>
      <c r="O118" s="10" t="inlineStr">
        <is>
          <t>No</t>
        </is>
      </c>
      <c r="P118" s="10" t="inlineStr">
        <is>
          <t>Not started</t>
        </is>
      </c>
      <c r="Q118" s="10" t="inlineStr">
        <is>
          <t>Not started</t>
        </is>
      </c>
      <c r="R118" s="10" t="inlineStr"/>
      <c r="S118" s="10" t="inlineStr"/>
      <c r="T118" s="10" t="inlineStr"/>
      <c r="U118" s="10" t="n"/>
      <c r="V118" s="10">
        <f>IF(U118="","",IF(U118&gt;=70,"Pass","Hold"))</f>
        <v/>
      </c>
      <c r="W118" s="11" t="n">
        <v>46273</v>
      </c>
      <c r="X118" s="10" t="inlineStr">
        <is>
          <t>10:00 AM</t>
        </is>
      </c>
      <c r="Y118" s="10" t="inlineStr">
        <is>
          <t>Scheduled</t>
        </is>
      </c>
      <c r="Z118" s="11" t="n"/>
      <c r="AA118" s="10" t="inlineStr"/>
      <c r="AB118" s="10" t="inlineStr"/>
      <c r="AC118" s="10" t="n"/>
      <c r="AD118" s="10" t="n"/>
      <c r="AE118" s="10" t="n"/>
      <c r="AF118" s="10" t="n"/>
      <c r="AG118" s="10" t="n"/>
      <c r="AH118" s="10" t="n"/>
      <c r="AI118" s="10" t="n"/>
      <c r="AJ118" s="10" t="n"/>
      <c r="AK118" s="10" t="n"/>
      <c r="AL118" s="10" t="n"/>
      <c r="AM118" s="10" t="inlineStr">
        <is>
          <t>No</t>
        </is>
      </c>
      <c r="AN118" s="10" t="n"/>
      <c r="AO118" s="10" t="n"/>
      <c r="AP118" s="10">
        <f>IF(AND(AC118&lt;&gt;"",AO118&lt;&gt;"",AO118&gt;0),AC118/AO118,"")</f>
        <v/>
      </c>
      <c r="AQ118" s="10">
        <f>IF(AP118="","",IF(AP118&gt;=2,"A",IF(AP118&gt;=1.2,"B",IF(AP118&gt;=0.6,"C","D"))))</f>
        <v/>
      </c>
      <c r="AR118" s="10" t="inlineStr"/>
      <c r="AS118" s="11" t="inlineStr"/>
      <c r="AT118" s="10" t="inlineStr"/>
    </row>
    <row r="119">
      <c r="A119" s="10" t="inlineStr">
        <is>
          <t>W06-U2-LI</t>
        </is>
      </c>
      <c r="B119" s="10" t="inlineStr">
        <is>
          <t>W06-U2</t>
        </is>
      </c>
      <c r="C119" s="10" t="n">
        <v>6</v>
      </c>
      <c r="D119" s="11" t="n">
        <v>46273</v>
      </c>
      <c r="E119" s="10" t="inlineStr">
        <is>
          <t>Tuesday</t>
        </is>
      </c>
      <c r="F119" s="10" t="inlineStr">
        <is>
          <t>Farah</t>
        </is>
      </c>
      <c r="G119" s="10" t="inlineStr">
        <is>
          <t>One system, every register, every location.</t>
        </is>
      </c>
      <c r="H119" s="10" t="inlineStr">
        <is>
          <t>Educate</t>
        </is>
      </c>
      <c r="I119" s="10" t="inlineStr">
        <is>
          <t>Carousel</t>
        </is>
      </c>
      <c r="J119" s="10" t="inlineStr">
        <is>
          <t>LinkedIn</t>
        </is>
      </c>
      <c r="K119" s="10" t="inlineStr">
        <is>
          <t>Adapted</t>
        </is>
      </c>
      <c r="L119" s="10" t="inlineStr">
        <is>
          <t>One dashboard, every store</t>
        </is>
      </c>
      <c r="M119" s="10" t="inlineStr">
        <is>
          <t>Book a demo</t>
        </is>
      </c>
      <c r="N119" s="10" t="inlineStr">
        <is>
          <t>No</t>
        </is>
      </c>
      <c r="O119" s="10" t="inlineStr">
        <is>
          <t>No</t>
        </is>
      </c>
      <c r="P119" s="10" t="inlineStr">
        <is>
          <t>Not started</t>
        </is>
      </c>
      <c r="Q119" s="10" t="inlineStr">
        <is>
          <t>Not started</t>
        </is>
      </c>
      <c r="R119" s="10" t="inlineStr"/>
      <c r="S119" s="10" t="inlineStr"/>
      <c r="T119" s="10" t="inlineStr"/>
      <c r="U119" s="10" t="n"/>
      <c r="V119" s="10">
        <f>IF(U119="","",IF(U119&gt;=70,"Pass","Hold"))</f>
        <v/>
      </c>
      <c r="W119" s="11" t="n">
        <v>46273</v>
      </c>
      <c r="X119" s="10" t="inlineStr">
        <is>
          <t>10:00 AM</t>
        </is>
      </c>
      <c r="Y119" s="10" t="inlineStr">
        <is>
          <t>Scheduled</t>
        </is>
      </c>
      <c r="Z119" s="11" t="n"/>
      <c r="AA119" s="10" t="inlineStr"/>
      <c r="AB119" s="10" t="inlineStr"/>
      <c r="AC119" s="10" t="n"/>
      <c r="AD119" s="10" t="n"/>
      <c r="AE119" s="10" t="n"/>
      <c r="AF119" s="10" t="n"/>
      <c r="AG119" s="10" t="n"/>
      <c r="AH119" s="10" t="n"/>
      <c r="AI119" s="10" t="n"/>
      <c r="AJ119" s="10" t="n"/>
      <c r="AK119" s="10" t="n"/>
      <c r="AL119" s="10" t="n"/>
      <c r="AM119" s="10" t="inlineStr">
        <is>
          <t>No</t>
        </is>
      </c>
      <c r="AN119" s="10" t="n"/>
      <c r="AO119" s="10" t="n"/>
      <c r="AP119" s="10">
        <f>IF(AND(AC119&lt;&gt;"",AO119&lt;&gt;"",AO119&gt;0),AC119/AO119,"")</f>
        <v/>
      </c>
      <c r="AQ119" s="10">
        <f>IF(AP119="","",IF(AP119&gt;=2,"A",IF(AP119&gt;=1.2,"B",IF(AP119&gt;=0.6,"C","D"))))</f>
        <v/>
      </c>
      <c r="AR119" s="10" t="inlineStr"/>
      <c r="AS119" s="11" t="inlineStr"/>
      <c r="AT119" s="10" t="inlineStr"/>
    </row>
    <row r="120">
      <c r="A120" s="10" t="inlineStr">
        <is>
          <t>W06-U3-TI</t>
        </is>
      </c>
      <c r="B120" s="10" t="inlineStr">
        <is>
          <t>W06-U3</t>
        </is>
      </c>
      <c r="C120" s="10" t="n">
        <v>6</v>
      </c>
      <c r="D120" s="11" t="n">
        <v>46274</v>
      </c>
      <c r="E120" s="10" t="inlineStr">
        <is>
          <t>Wednesday</t>
        </is>
      </c>
      <c r="F120" s="10" t="inlineStr">
        <is>
          <t>Farah</t>
        </is>
      </c>
      <c r="G120" s="10" t="inlineStr">
        <is>
          <t>One system, every register, every location.</t>
        </is>
      </c>
      <c r="H120" s="10" t="inlineStr">
        <is>
          <t>Inspire</t>
        </is>
      </c>
      <c r="I120" s="10" t="inlineStr">
        <is>
          <t>Video</t>
        </is>
      </c>
      <c r="J120" s="10" t="inlineStr">
        <is>
          <t>TikTok</t>
        </is>
      </c>
      <c r="K120" s="10" t="inlineStr">
        <is>
          <t>Primary</t>
        </is>
      </c>
      <c r="L120" s="10" t="inlineStr">
        <is>
          <t>Multi-shift, multi-store chaos (and calm)</t>
        </is>
      </c>
      <c r="M120" s="10" t="inlineStr">
        <is>
          <t>Book a demo</t>
        </is>
      </c>
      <c r="N120" s="10" t="inlineStr">
        <is>
          <t>No</t>
        </is>
      </c>
      <c r="O120" s="10" t="inlineStr">
        <is>
          <t>No</t>
        </is>
      </c>
      <c r="P120" s="10" t="inlineStr">
        <is>
          <t>Not started</t>
        </is>
      </c>
      <c r="Q120" s="10" t="inlineStr">
        <is>
          <t>Not started</t>
        </is>
      </c>
      <c r="R120" s="10" t="inlineStr"/>
      <c r="S120" s="10" t="inlineStr"/>
      <c r="T120" s="10" t="inlineStr"/>
      <c r="U120" s="10" t="n"/>
      <c r="V120" s="10">
        <f>IF(U120="","",IF(U120&gt;=70,"Pass","Hold"))</f>
        <v/>
      </c>
      <c r="W120" s="11" t="n">
        <v>46274</v>
      </c>
      <c r="X120" s="10" t="inlineStr">
        <is>
          <t>10:00 AM</t>
        </is>
      </c>
      <c r="Y120" s="10" t="inlineStr">
        <is>
          <t>Scheduled</t>
        </is>
      </c>
      <c r="Z120" s="11" t="n"/>
      <c r="AA120" s="10" t="inlineStr"/>
      <c r="AB120" s="10" t="inlineStr"/>
      <c r="AC120" s="10" t="n"/>
      <c r="AD120" s="10" t="n"/>
      <c r="AE120" s="10" t="n"/>
      <c r="AF120" s="10" t="n"/>
      <c r="AG120" s="10" t="n"/>
      <c r="AH120" s="10" t="n"/>
      <c r="AI120" s="10" t="n"/>
      <c r="AJ120" s="10" t="n"/>
      <c r="AK120" s="10" t="n"/>
      <c r="AL120" s="10" t="n"/>
      <c r="AM120" s="10" t="inlineStr">
        <is>
          <t>No</t>
        </is>
      </c>
      <c r="AN120" s="10" t="n"/>
      <c r="AO120" s="10" t="n"/>
      <c r="AP120" s="10">
        <f>IF(AND(AC120&lt;&gt;"",AO120&lt;&gt;"",AO120&gt;0),AC120/AO120,"")</f>
        <v/>
      </c>
      <c r="AQ120" s="10">
        <f>IF(AP120="","",IF(AP120&gt;=2,"A",IF(AP120&gt;=1.2,"B",IF(AP120&gt;=0.6,"C","D"))))</f>
        <v/>
      </c>
      <c r="AR120" s="10" t="inlineStr"/>
      <c r="AS120" s="11" t="inlineStr"/>
      <c r="AT120" s="10" t="inlineStr"/>
    </row>
    <row r="121">
      <c r="A121" s="10" t="inlineStr">
        <is>
          <t>W06-U3-IN</t>
        </is>
      </c>
      <c r="B121" s="10" t="inlineStr">
        <is>
          <t>W06-U3</t>
        </is>
      </c>
      <c r="C121" s="10" t="n">
        <v>6</v>
      </c>
      <c r="D121" s="11" t="n">
        <v>46274</v>
      </c>
      <c r="E121" s="10" t="inlineStr">
        <is>
          <t>Wednesday</t>
        </is>
      </c>
      <c r="F121" s="10" t="inlineStr">
        <is>
          <t>Farah</t>
        </is>
      </c>
      <c r="G121" s="10" t="inlineStr">
        <is>
          <t>One system, every register, every location.</t>
        </is>
      </c>
      <c r="H121" s="10" t="inlineStr">
        <is>
          <t>Inspire</t>
        </is>
      </c>
      <c r="I121" s="10" t="inlineStr">
        <is>
          <t>Video</t>
        </is>
      </c>
      <c r="J121" s="10" t="inlineStr">
        <is>
          <t>Instagram</t>
        </is>
      </c>
      <c r="K121" s="10" t="inlineStr">
        <is>
          <t>Mirror</t>
        </is>
      </c>
      <c r="L121" s="10" t="inlineStr">
        <is>
          <t>Multi-shift, multi-store chaos (and calm)</t>
        </is>
      </c>
      <c r="M121" s="10" t="inlineStr">
        <is>
          <t>Book a demo</t>
        </is>
      </c>
      <c r="N121" s="10" t="inlineStr">
        <is>
          <t>No</t>
        </is>
      </c>
      <c r="O121" s="10" t="inlineStr">
        <is>
          <t>No</t>
        </is>
      </c>
      <c r="P121" s="10" t="inlineStr">
        <is>
          <t>Not started</t>
        </is>
      </c>
      <c r="Q121" s="10" t="inlineStr">
        <is>
          <t>Not started</t>
        </is>
      </c>
      <c r="R121" s="10" t="inlineStr"/>
      <c r="S121" s="10" t="inlineStr"/>
      <c r="T121" s="10" t="inlineStr"/>
      <c r="U121" s="10" t="n"/>
      <c r="V121" s="10">
        <f>IF(U121="","",IF(U121&gt;=70,"Pass","Hold"))</f>
        <v/>
      </c>
      <c r="W121" s="11" t="n">
        <v>46274</v>
      </c>
      <c r="X121" s="10" t="inlineStr">
        <is>
          <t>10:00 AM</t>
        </is>
      </c>
      <c r="Y121" s="10" t="inlineStr">
        <is>
          <t>Scheduled</t>
        </is>
      </c>
      <c r="Z121" s="11" t="n"/>
      <c r="AA121" s="10" t="inlineStr"/>
      <c r="AB121" s="10" t="inlineStr"/>
      <c r="AC121" s="10" t="n"/>
      <c r="AD121" s="10" t="n"/>
      <c r="AE121" s="10" t="n"/>
      <c r="AF121" s="10" t="n"/>
      <c r="AG121" s="10" t="n"/>
      <c r="AH121" s="10" t="n"/>
      <c r="AI121" s="10" t="n"/>
      <c r="AJ121" s="10" t="n"/>
      <c r="AK121" s="10" t="n"/>
      <c r="AL121" s="10" t="n"/>
      <c r="AM121" s="10" t="inlineStr">
        <is>
          <t>No</t>
        </is>
      </c>
      <c r="AN121" s="10" t="n"/>
      <c r="AO121" s="10" t="n"/>
      <c r="AP121" s="10">
        <f>IF(AND(AC121&lt;&gt;"",AO121&lt;&gt;"",AO121&gt;0),AC121/AO121,"")</f>
        <v/>
      </c>
      <c r="AQ121" s="10">
        <f>IF(AP121="","",IF(AP121&gt;=2,"A",IF(AP121&gt;=1.2,"B",IF(AP121&gt;=0.6,"C","D"))))</f>
        <v/>
      </c>
      <c r="AR121" s="10" t="inlineStr"/>
      <c r="AS121" s="11" t="inlineStr"/>
      <c r="AT121" s="10" t="inlineStr"/>
    </row>
    <row r="122">
      <c r="A122" s="10" t="inlineStr">
        <is>
          <t>W06-U4-LI</t>
        </is>
      </c>
      <c r="B122" s="10" t="inlineStr">
        <is>
          <t>W06-U4</t>
        </is>
      </c>
      <c r="C122" s="10" t="n">
        <v>6</v>
      </c>
      <c r="D122" s="11" t="n">
        <v>46275</v>
      </c>
      <c r="E122" s="10" t="inlineStr">
        <is>
          <t>Thursday</t>
        </is>
      </c>
      <c r="F122" s="10" t="inlineStr">
        <is>
          <t>Farah</t>
        </is>
      </c>
      <c r="G122" s="10" t="inlineStr">
        <is>
          <t>One system, every register, every location.</t>
        </is>
      </c>
      <c r="H122" s="10" t="inlineStr">
        <is>
          <t>Engage</t>
        </is>
      </c>
      <c r="I122" s="10" t="inlineStr">
        <is>
          <t>Static</t>
        </is>
      </c>
      <c r="J122" s="10" t="inlineStr">
        <is>
          <t>LinkedIn</t>
        </is>
      </c>
      <c r="K122" s="10" t="inlineStr">
        <is>
          <t>Primary</t>
        </is>
      </c>
      <c r="L122" s="10" t="inlineStr">
        <is>
          <t>‘Will this even work the same at all my stores?’</t>
        </is>
      </c>
      <c r="M122" s="10" t="inlineStr">
        <is>
          <t>Book a demo</t>
        </is>
      </c>
      <c r="N122" s="10" t="inlineStr">
        <is>
          <t>No</t>
        </is>
      </c>
      <c r="O122" s="10" t="inlineStr">
        <is>
          <t>No</t>
        </is>
      </c>
      <c r="P122" s="10" t="inlineStr">
        <is>
          <t>Not started</t>
        </is>
      </c>
      <c r="Q122" s="10" t="inlineStr">
        <is>
          <t>Not started</t>
        </is>
      </c>
      <c r="R122" s="10" t="inlineStr"/>
      <c r="S122" s="10" t="inlineStr"/>
      <c r="T122" s="10" t="inlineStr"/>
      <c r="U122" s="10" t="n"/>
      <c r="V122" s="10">
        <f>IF(U122="","",IF(U122&gt;=70,"Pass","Hold"))</f>
        <v/>
      </c>
      <c r="W122" s="11" t="n">
        <v>46275</v>
      </c>
      <c r="X122" s="10" t="inlineStr">
        <is>
          <t>10:00 AM</t>
        </is>
      </c>
      <c r="Y122" s="10" t="inlineStr">
        <is>
          <t>Scheduled</t>
        </is>
      </c>
      <c r="Z122" s="11" t="n"/>
      <c r="AA122" s="10" t="inlineStr"/>
      <c r="AB122" s="10" t="inlineStr"/>
      <c r="AC122" s="10" t="n"/>
      <c r="AD122" s="10" t="n"/>
      <c r="AE122" s="10" t="n"/>
      <c r="AF122" s="10" t="n"/>
      <c r="AG122" s="10" t="n"/>
      <c r="AH122" s="10" t="n"/>
      <c r="AI122" s="10" t="n"/>
      <c r="AJ122" s="10" t="n"/>
      <c r="AK122" s="10" t="n"/>
      <c r="AL122" s="10" t="n"/>
      <c r="AM122" s="10" t="inlineStr">
        <is>
          <t>No</t>
        </is>
      </c>
      <c r="AN122" s="10" t="n"/>
      <c r="AO122" s="10" t="n"/>
      <c r="AP122" s="10">
        <f>IF(AND(AC122&lt;&gt;"",AO122&lt;&gt;"",AO122&gt;0),AC122/AO122,"")</f>
        <v/>
      </c>
      <c r="AQ122" s="10">
        <f>IF(AP122="","",IF(AP122&gt;=2,"A",IF(AP122&gt;=1.2,"B",IF(AP122&gt;=0.6,"C","D"))))</f>
        <v/>
      </c>
      <c r="AR122" s="10" t="inlineStr"/>
      <c r="AS122" s="11" t="inlineStr"/>
      <c r="AT122" s="10" t="inlineStr"/>
    </row>
    <row r="123">
      <c r="A123" s="10" t="inlineStr">
        <is>
          <t>W06-U4-FA</t>
        </is>
      </c>
      <c r="B123" s="10" t="inlineStr">
        <is>
          <t>W06-U4</t>
        </is>
      </c>
      <c r="C123" s="10" t="n">
        <v>6</v>
      </c>
      <c r="D123" s="11" t="n">
        <v>46275</v>
      </c>
      <c r="E123" s="10" t="inlineStr">
        <is>
          <t>Thursday</t>
        </is>
      </c>
      <c r="F123" s="10" t="inlineStr">
        <is>
          <t>Farah</t>
        </is>
      </c>
      <c r="G123" s="10" t="inlineStr">
        <is>
          <t>One system, every register, every location.</t>
        </is>
      </c>
      <c r="H123" s="10" t="inlineStr">
        <is>
          <t>Engage</t>
        </is>
      </c>
      <c r="I123" s="10" t="inlineStr">
        <is>
          <t>Static</t>
        </is>
      </c>
      <c r="J123" s="10" t="inlineStr">
        <is>
          <t>Facebook</t>
        </is>
      </c>
      <c r="K123" s="10" t="inlineStr">
        <is>
          <t>Mirror</t>
        </is>
      </c>
      <c r="L123" s="10" t="inlineStr">
        <is>
          <t>‘Will this even work the same at all my stores?’</t>
        </is>
      </c>
      <c r="M123" s="10" t="inlineStr">
        <is>
          <t>Book a demo</t>
        </is>
      </c>
      <c r="N123" s="10" t="inlineStr">
        <is>
          <t>No</t>
        </is>
      </c>
      <c r="O123" s="10" t="inlineStr">
        <is>
          <t>No</t>
        </is>
      </c>
      <c r="P123" s="10" t="inlineStr">
        <is>
          <t>Not started</t>
        </is>
      </c>
      <c r="Q123" s="10" t="inlineStr">
        <is>
          <t>Not started</t>
        </is>
      </c>
      <c r="R123" s="10" t="inlineStr"/>
      <c r="S123" s="10" t="inlineStr"/>
      <c r="T123" s="10" t="inlineStr"/>
      <c r="U123" s="10" t="n"/>
      <c r="V123" s="10">
        <f>IF(U123="","",IF(U123&gt;=70,"Pass","Hold"))</f>
        <v/>
      </c>
      <c r="W123" s="11" t="n">
        <v>46275</v>
      </c>
      <c r="X123" s="10" t="inlineStr">
        <is>
          <t>10:00 AM</t>
        </is>
      </c>
      <c r="Y123" s="10" t="inlineStr">
        <is>
          <t>Scheduled</t>
        </is>
      </c>
      <c r="Z123" s="11" t="n"/>
      <c r="AA123" s="10" t="inlineStr"/>
      <c r="AB123" s="10" t="inlineStr"/>
      <c r="AC123" s="10" t="n"/>
      <c r="AD123" s="10" t="n"/>
      <c r="AE123" s="10" t="n"/>
      <c r="AF123" s="10" t="n"/>
      <c r="AG123" s="10" t="n"/>
      <c r="AH123" s="10" t="n"/>
      <c r="AI123" s="10" t="n"/>
      <c r="AJ123" s="10" t="n"/>
      <c r="AK123" s="10" t="n"/>
      <c r="AL123" s="10" t="n"/>
      <c r="AM123" s="10" t="inlineStr">
        <is>
          <t>No</t>
        </is>
      </c>
      <c r="AN123" s="10" t="n"/>
      <c r="AO123" s="10" t="n"/>
      <c r="AP123" s="10">
        <f>IF(AND(AC123&lt;&gt;"",AO123&lt;&gt;"",AO123&gt;0),AC123/AO123,"")</f>
        <v/>
      </c>
      <c r="AQ123" s="10">
        <f>IF(AP123="","",IF(AP123&gt;=2,"A",IF(AP123&gt;=1.2,"B",IF(AP123&gt;=0.6,"C","D"))))</f>
        <v/>
      </c>
      <c r="AR123" s="10" t="inlineStr"/>
      <c r="AS123" s="11" t="inlineStr"/>
      <c r="AT123" s="10" t="inlineStr"/>
    </row>
    <row r="124">
      <c r="A124" s="10" t="inlineStr">
        <is>
          <t>W06-U4-IN</t>
        </is>
      </c>
      <c r="B124" s="10" t="inlineStr">
        <is>
          <t>W06-U4</t>
        </is>
      </c>
      <c r="C124" s="10" t="n">
        <v>6</v>
      </c>
      <c r="D124" s="11" t="n">
        <v>46275</v>
      </c>
      <c r="E124" s="10" t="inlineStr">
        <is>
          <t>Thursday</t>
        </is>
      </c>
      <c r="F124" s="10" t="inlineStr">
        <is>
          <t>Farah</t>
        </is>
      </c>
      <c r="G124" s="10" t="inlineStr">
        <is>
          <t>One system, every register, every location.</t>
        </is>
      </c>
      <c r="H124" s="10" t="inlineStr">
        <is>
          <t>Engage</t>
        </is>
      </c>
      <c r="I124" s="10" t="inlineStr">
        <is>
          <t>Static</t>
        </is>
      </c>
      <c r="J124" s="10" t="inlineStr">
        <is>
          <t>Instagram</t>
        </is>
      </c>
      <c r="K124" s="10" t="inlineStr">
        <is>
          <t>Adapted</t>
        </is>
      </c>
      <c r="L124" s="10" t="inlineStr">
        <is>
          <t>‘Will this even work the same at all my stores?’</t>
        </is>
      </c>
      <c r="M124" s="10" t="inlineStr">
        <is>
          <t>Book a demo</t>
        </is>
      </c>
      <c r="N124" s="10" t="inlineStr">
        <is>
          <t>No</t>
        </is>
      </c>
      <c r="O124" s="10" t="inlineStr">
        <is>
          <t>No</t>
        </is>
      </c>
      <c r="P124" s="10" t="inlineStr">
        <is>
          <t>Not started</t>
        </is>
      </c>
      <c r="Q124" s="10" t="inlineStr">
        <is>
          <t>Not started</t>
        </is>
      </c>
      <c r="R124" s="10" t="inlineStr"/>
      <c r="S124" s="10" t="inlineStr"/>
      <c r="T124" s="10" t="inlineStr"/>
      <c r="U124" s="10" t="n"/>
      <c r="V124" s="10">
        <f>IF(U124="","",IF(U124&gt;=70,"Pass","Hold"))</f>
        <v/>
      </c>
      <c r="W124" s="11" t="n">
        <v>46275</v>
      </c>
      <c r="X124" s="10" t="inlineStr">
        <is>
          <t>10:00 AM</t>
        </is>
      </c>
      <c r="Y124" s="10" t="inlineStr">
        <is>
          <t>Scheduled</t>
        </is>
      </c>
      <c r="Z124" s="11" t="n"/>
      <c r="AA124" s="10" t="inlineStr"/>
      <c r="AB124" s="10" t="inlineStr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inlineStr">
        <is>
          <t>No</t>
        </is>
      </c>
      <c r="AN124" s="10" t="n"/>
      <c r="AO124" s="10" t="n"/>
      <c r="AP124" s="10">
        <f>IF(AND(AC124&lt;&gt;"",AO124&lt;&gt;"",AO124&gt;0),AC124/AO124,"")</f>
        <v/>
      </c>
      <c r="AQ124" s="10">
        <f>IF(AP124="","",IF(AP124&gt;=2,"A",IF(AP124&gt;=1.2,"B",IF(AP124&gt;=0.6,"C","D"))))</f>
        <v/>
      </c>
      <c r="AR124" s="10" t="inlineStr"/>
      <c r="AS124" s="11" t="inlineStr"/>
      <c r="AT124" s="10" t="inlineStr"/>
    </row>
    <row r="125">
      <c r="A125" s="10" t="inlineStr">
        <is>
          <t>W06-U5-IN</t>
        </is>
      </c>
      <c r="B125" s="10" t="inlineStr">
        <is>
          <t>W06-U5</t>
        </is>
      </c>
      <c r="C125" s="10" t="n">
        <v>6</v>
      </c>
      <c r="D125" s="11" t="n">
        <v>46276</v>
      </c>
      <c r="E125" s="10" t="inlineStr">
        <is>
          <t>Friday</t>
        </is>
      </c>
      <c r="F125" s="10" t="inlineStr">
        <is>
          <t>Farah</t>
        </is>
      </c>
      <c r="G125" s="10" t="inlineStr">
        <is>
          <t>One system, every register, every location.</t>
        </is>
      </c>
      <c r="H125" s="10" t="inlineStr">
        <is>
          <t>Engage</t>
        </is>
      </c>
      <c r="I125" s="10" t="inlineStr">
        <is>
          <t>Text</t>
        </is>
      </c>
      <c r="J125" s="10" t="inlineStr">
        <is>
          <t>Instagram</t>
        </is>
      </c>
      <c r="K125" s="10" t="inlineStr">
        <is>
          <t>Primary</t>
        </is>
      </c>
      <c r="L125" s="10" t="inlineStr">
        <is>
          <t>How many locations do you run?</t>
        </is>
      </c>
      <c r="M125" s="10" t="inlineStr">
        <is>
          <t>Engage (vote)</t>
        </is>
      </c>
      <c r="N125" s="10" t="inlineStr">
        <is>
          <t>No</t>
        </is>
      </c>
      <c r="O125" s="10" t="inlineStr">
        <is>
          <t>No</t>
        </is>
      </c>
      <c r="P125" s="10" t="inlineStr">
        <is>
          <t>Not started</t>
        </is>
      </c>
      <c r="Q125" s="10" t="inlineStr">
        <is>
          <t>Not started</t>
        </is>
      </c>
      <c r="R125" s="10" t="inlineStr"/>
      <c r="S125" s="10" t="inlineStr"/>
      <c r="T125" s="10" t="inlineStr"/>
      <c r="U125" s="10" t="n"/>
      <c r="V125" s="10">
        <f>IF(U125="","",IF(U125&gt;=70,"Pass","Hold"))</f>
        <v/>
      </c>
      <c r="W125" s="11" t="n">
        <v>46276</v>
      </c>
      <c r="X125" s="10" t="inlineStr">
        <is>
          <t>10:00 AM</t>
        </is>
      </c>
      <c r="Y125" s="10" t="inlineStr">
        <is>
          <t>Scheduled</t>
        </is>
      </c>
      <c r="Z125" s="11" t="n"/>
      <c r="AA125" s="10" t="inlineStr"/>
      <c r="AB125" s="10" t="inlineStr"/>
      <c r="AC125" s="10" t="n"/>
      <c r="AD125" s="10" t="n"/>
      <c r="AE125" s="10" t="n"/>
      <c r="AF125" s="10" t="n"/>
      <c r="AG125" s="10" t="n"/>
      <c r="AH125" s="10" t="n"/>
      <c r="AI125" s="10" t="n"/>
      <c r="AJ125" s="10" t="n"/>
      <c r="AK125" s="10" t="n"/>
      <c r="AL125" s="10" t="n"/>
      <c r="AM125" s="10" t="inlineStr">
        <is>
          <t>No</t>
        </is>
      </c>
      <c r="AN125" s="10" t="n"/>
      <c r="AO125" s="10" t="n"/>
      <c r="AP125" s="10">
        <f>IF(AND(AC125&lt;&gt;"",AO125&lt;&gt;"",AO125&gt;0),AC125/AO125,"")</f>
        <v/>
      </c>
      <c r="AQ125" s="10">
        <f>IF(AP125="","",IF(AP125&gt;=2,"A",IF(AP125&gt;=1.2,"B",IF(AP125&gt;=0.6,"C","D"))))</f>
        <v/>
      </c>
      <c r="AR125" s="10" t="inlineStr"/>
      <c r="AS125" s="11" t="inlineStr"/>
      <c r="AT125" s="10" t="inlineStr"/>
    </row>
    <row r="126">
      <c r="A126" s="10" t="inlineStr">
        <is>
          <t>W06-U5-LI</t>
        </is>
      </c>
      <c r="B126" s="10" t="inlineStr">
        <is>
          <t>W06-U5</t>
        </is>
      </c>
      <c r="C126" s="10" t="n">
        <v>6</v>
      </c>
      <c r="D126" s="11" t="n">
        <v>46276</v>
      </c>
      <c r="E126" s="10" t="inlineStr">
        <is>
          <t>Friday</t>
        </is>
      </c>
      <c r="F126" s="10" t="inlineStr">
        <is>
          <t>Farah</t>
        </is>
      </c>
      <c r="G126" s="10" t="inlineStr">
        <is>
          <t>One system, every register, every location.</t>
        </is>
      </c>
      <c r="H126" s="10" t="inlineStr">
        <is>
          <t>Engage</t>
        </is>
      </c>
      <c r="I126" s="10" t="inlineStr">
        <is>
          <t>Text</t>
        </is>
      </c>
      <c r="J126" s="10" t="inlineStr">
        <is>
          <t>LinkedIn</t>
        </is>
      </c>
      <c r="K126" s="10" t="inlineStr">
        <is>
          <t>Adapted</t>
        </is>
      </c>
      <c r="L126" s="10" t="inlineStr">
        <is>
          <t>How many locations do you run?</t>
        </is>
      </c>
      <c r="M126" s="10" t="inlineStr">
        <is>
          <t>Engage (vote)</t>
        </is>
      </c>
      <c r="N126" s="10" t="inlineStr">
        <is>
          <t>No</t>
        </is>
      </c>
      <c r="O126" s="10" t="inlineStr">
        <is>
          <t>No</t>
        </is>
      </c>
      <c r="P126" s="10" t="inlineStr">
        <is>
          <t>Not started</t>
        </is>
      </c>
      <c r="Q126" s="10" t="inlineStr">
        <is>
          <t>Not started</t>
        </is>
      </c>
      <c r="R126" s="10" t="inlineStr"/>
      <c r="S126" s="10" t="inlineStr"/>
      <c r="T126" s="10" t="inlineStr"/>
      <c r="U126" s="10" t="n"/>
      <c r="V126" s="10">
        <f>IF(U126="","",IF(U126&gt;=70,"Pass","Hold"))</f>
        <v/>
      </c>
      <c r="W126" s="11" t="n">
        <v>46276</v>
      </c>
      <c r="X126" s="10" t="inlineStr">
        <is>
          <t>10:00 AM</t>
        </is>
      </c>
      <c r="Y126" s="10" t="inlineStr">
        <is>
          <t>Scheduled</t>
        </is>
      </c>
      <c r="Z126" s="11" t="n"/>
      <c r="AA126" s="10" t="inlineStr"/>
      <c r="AB126" s="10" t="inlineStr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inlineStr">
        <is>
          <t>No</t>
        </is>
      </c>
      <c r="AN126" s="10" t="n"/>
      <c r="AO126" s="10" t="n"/>
      <c r="AP126" s="10">
        <f>IF(AND(AC126&lt;&gt;"",AO126&lt;&gt;"",AO126&gt;0),AC126/AO126,"")</f>
        <v/>
      </c>
      <c r="AQ126" s="10">
        <f>IF(AP126="","",IF(AP126&gt;=2,"A",IF(AP126&gt;=1.2,"B",IF(AP126&gt;=0.6,"C","D"))))</f>
        <v/>
      </c>
      <c r="AR126" s="10" t="inlineStr"/>
      <c r="AS126" s="11" t="inlineStr"/>
      <c r="AT126" s="10" t="inlineStr"/>
    </row>
    <row r="127">
      <c r="A127" s="10" t="inlineStr">
        <is>
          <t>W06-U6-IN</t>
        </is>
      </c>
      <c r="B127" s="10" t="inlineStr">
        <is>
          <t>W06-U6</t>
        </is>
      </c>
      <c r="C127" s="10" t="n">
        <v>6</v>
      </c>
      <c r="D127" s="11" t="n">
        <v>46277</v>
      </c>
      <c r="E127" s="10" t="inlineStr">
        <is>
          <t>Saturday</t>
        </is>
      </c>
      <c r="F127" s="10" t="inlineStr">
        <is>
          <t>Farah</t>
        </is>
      </c>
      <c r="G127" s="10" t="inlineStr">
        <is>
          <t>One system, every register, every location.</t>
        </is>
      </c>
      <c r="H127" s="10" t="inlineStr">
        <is>
          <t>Inspire</t>
        </is>
      </c>
      <c r="I127" s="10" t="inlineStr">
        <is>
          <t>Static</t>
        </is>
      </c>
      <c r="J127" s="10" t="inlineStr">
        <is>
          <t>Instagram</t>
        </is>
      </c>
      <c r="K127" s="10" t="inlineStr">
        <is>
          <t>Primary</t>
        </is>
      </c>
      <c r="L127" s="10" t="inlineStr">
        <is>
          <t>One system, every register, every location</t>
        </is>
      </c>
      <c r="M127" s="10" t="inlineStr">
        <is>
          <t>Book a demo</t>
        </is>
      </c>
      <c r="N127" s="10" t="inlineStr">
        <is>
          <t>No</t>
        </is>
      </c>
      <c r="O127" s="10" t="inlineStr">
        <is>
          <t>No</t>
        </is>
      </c>
      <c r="P127" s="10" t="inlineStr">
        <is>
          <t>Not started</t>
        </is>
      </c>
      <c r="Q127" s="10" t="inlineStr">
        <is>
          <t>Not started</t>
        </is>
      </c>
      <c r="R127" s="10" t="inlineStr"/>
      <c r="S127" s="10" t="inlineStr"/>
      <c r="T127" s="10" t="inlineStr"/>
      <c r="U127" s="10" t="n"/>
      <c r="V127" s="10">
        <f>IF(U127="","",IF(U127&gt;=70,"Pass","Hold"))</f>
        <v/>
      </c>
      <c r="W127" s="11" t="n">
        <v>46277</v>
      </c>
      <c r="X127" s="10" t="inlineStr">
        <is>
          <t>10:00 AM</t>
        </is>
      </c>
      <c r="Y127" s="10" t="inlineStr">
        <is>
          <t>Scheduled</t>
        </is>
      </c>
      <c r="Z127" s="11" t="n"/>
      <c r="AA127" s="10" t="inlineStr"/>
      <c r="AB127" s="10" t="inlineStr"/>
      <c r="AC127" s="10" t="n"/>
      <c r="AD127" s="10" t="n"/>
      <c r="AE127" s="10" t="n"/>
      <c r="AF127" s="10" t="n"/>
      <c r="AG127" s="10" t="n"/>
      <c r="AH127" s="10" t="n"/>
      <c r="AI127" s="10" t="n"/>
      <c r="AJ127" s="10" t="n"/>
      <c r="AK127" s="10" t="n"/>
      <c r="AL127" s="10" t="n"/>
      <c r="AM127" s="10" t="inlineStr">
        <is>
          <t>No</t>
        </is>
      </c>
      <c r="AN127" s="10" t="n"/>
      <c r="AO127" s="10" t="n"/>
      <c r="AP127" s="10">
        <f>IF(AND(AC127&lt;&gt;"",AO127&lt;&gt;"",AO127&gt;0),AC127/AO127,"")</f>
        <v/>
      </c>
      <c r="AQ127" s="10">
        <f>IF(AP127="","",IF(AP127&gt;=2,"A",IF(AP127&gt;=1.2,"B",IF(AP127&gt;=0.6,"C","D"))))</f>
        <v/>
      </c>
      <c r="AR127" s="10" t="inlineStr"/>
      <c r="AS127" s="11" t="inlineStr"/>
      <c r="AT127" s="10" t="inlineStr"/>
    </row>
    <row r="128">
      <c r="A128" s="10" t="inlineStr">
        <is>
          <t>W06-U6-FA</t>
        </is>
      </c>
      <c r="B128" s="10" t="inlineStr">
        <is>
          <t>W06-U6</t>
        </is>
      </c>
      <c r="C128" s="10" t="n">
        <v>6</v>
      </c>
      <c r="D128" s="11" t="n">
        <v>46277</v>
      </c>
      <c r="E128" s="10" t="inlineStr">
        <is>
          <t>Saturday</t>
        </is>
      </c>
      <c r="F128" s="10" t="inlineStr">
        <is>
          <t>Farah</t>
        </is>
      </c>
      <c r="G128" s="10" t="inlineStr">
        <is>
          <t>One system, every register, every location.</t>
        </is>
      </c>
      <c r="H128" s="10" t="inlineStr">
        <is>
          <t>Inspire</t>
        </is>
      </c>
      <c r="I128" s="10" t="inlineStr">
        <is>
          <t>Static</t>
        </is>
      </c>
      <c r="J128" s="10" t="inlineStr">
        <is>
          <t>Facebook</t>
        </is>
      </c>
      <c r="K128" s="10" t="inlineStr">
        <is>
          <t>Mirror</t>
        </is>
      </c>
      <c r="L128" s="10" t="inlineStr">
        <is>
          <t>One system, every register, every location</t>
        </is>
      </c>
      <c r="M128" s="10" t="inlineStr">
        <is>
          <t>Book a demo</t>
        </is>
      </c>
      <c r="N128" s="10" t="inlineStr">
        <is>
          <t>No</t>
        </is>
      </c>
      <c r="O128" s="10" t="inlineStr">
        <is>
          <t>No</t>
        </is>
      </c>
      <c r="P128" s="10" t="inlineStr">
        <is>
          <t>Not started</t>
        </is>
      </c>
      <c r="Q128" s="10" t="inlineStr">
        <is>
          <t>Not started</t>
        </is>
      </c>
      <c r="R128" s="10" t="inlineStr"/>
      <c r="S128" s="10" t="inlineStr"/>
      <c r="T128" s="10" t="inlineStr"/>
      <c r="U128" s="10" t="n"/>
      <c r="V128" s="10">
        <f>IF(U128="","",IF(U128&gt;=70,"Pass","Hold"))</f>
        <v/>
      </c>
      <c r="W128" s="11" t="n">
        <v>46277</v>
      </c>
      <c r="X128" s="10" t="inlineStr">
        <is>
          <t>10:00 AM</t>
        </is>
      </c>
      <c r="Y128" s="10" t="inlineStr">
        <is>
          <t>Scheduled</t>
        </is>
      </c>
      <c r="Z128" s="11" t="n"/>
      <c r="AA128" s="10" t="inlineStr"/>
      <c r="AB128" s="10" t="inlineStr"/>
      <c r="AC128" s="10" t="n"/>
      <c r="AD128" s="10" t="n"/>
      <c r="AE128" s="10" t="n"/>
      <c r="AF128" s="10" t="n"/>
      <c r="AG128" s="10" t="n"/>
      <c r="AH128" s="10" t="n"/>
      <c r="AI128" s="10" t="n"/>
      <c r="AJ128" s="10" t="n"/>
      <c r="AK128" s="10" t="n"/>
      <c r="AL128" s="10" t="n"/>
      <c r="AM128" s="10" t="inlineStr">
        <is>
          <t>No</t>
        </is>
      </c>
      <c r="AN128" s="10" t="n"/>
      <c r="AO128" s="10" t="n"/>
      <c r="AP128" s="10">
        <f>IF(AND(AC128&lt;&gt;"",AO128&lt;&gt;"",AO128&gt;0),AC128/AO128,"")</f>
        <v/>
      </c>
      <c r="AQ128" s="10">
        <f>IF(AP128="","",IF(AP128&gt;=2,"A",IF(AP128&gt;=1.2,"B",IF(AP128&gt;=0.6,"C","D"))))</f>
        <v/>
      </c>
      <c r="AR128" s="10" t="inlineStr"/>
      <c r="AS128" s="11" t="inlineStr"/>
      <c r="AT128" s="10" t="inlineStr"/>
    </row>
    <row r="129">
      <c r="A129" s="10" t="inlineStr">
        <is>
          <t>W06-U6-X</t>
        </is>
      </c>
      <c r="B129" s="10" t="inlineStr">
        <is>
          <t>W06-U6</t>
        </is>
      </c>
      <c r="C129" s="10" t="n">
        <v>6</v>
      </c>
      <c r="D129" s="11" t="n">
        <v>46277</v>
      </c>
      <c r="E129" s="10" t="inlineStr">
        <is>
          <t>Saturday</t>
        </is>
      </c>
      <c r="F129" s="10" t="inlineStr">
        <is>
          <t>Farah</t>
        </is>
      </c>
      <c r="G129" s="10" t="inlineStr">
        <is>
          <t>One system, every register, every location.</t>
        </is>
      </c>
      <c r="H129" s="10" t="inlineStr">
        <is>
          <t>Inspire</t>
        </is>
      </c>
      <c r="I129" s="10" t="inlineStr">
        <is>
          <t>Static</t>
        </is>
      </c>
      <c r="J129" s="10" t="inlineStr">
        <is>
          <t>X</t>
        </is>
      </c>
      <c r="K129" s="10" t="inlineStr">
        <is>
          <t>Mirror</t>
        </is>
      </c>
      <c r="L129" s="10" t="inlineStr">
        <is>
          <t>One system, every register, every location</t>
        </is>
      </c>
      <c r="M129" s="10" t="inlineStr">
        <is>
          <t>Book a demo</t>
        </is>
      </c>
      <c r="N129" s="10" t="inlineStr">
        <is>
          <t>No</t>
        </is>
      </c>
      <c r="O129" s="10" t="inlineStr">
        <is>
          <t>No</t>
        </is>
      </c>
      <c r="P129" s="10" t="inlineStr">
        <is>
          <t>Not started</t>
        </is>
      </c>
      <c r="Q129" s="10" t="inlineStr">
        <is>
          <t>Not started</t>
        </is>
      </c>
      <c r="R129" s="10" t="inlineStr"/>
      <c r="S129" s="10" t="inlineStr"/>
      <c r="T129" s="10" t="inlineStr"/>
      <c r="U129" s="10" t="n"/>
      <c r="V129" s="10">
        <f>IF(U129="","",IF(U129&gt;=70,"Pass","Hold"))</f>
        <v/>
      </c>
      <c r="W129" s="11" t="n">
        <v>46277</v>
      </c>
      <c r="X129" s="10" t="inlineStr">
        <is>
          <t>10:00 AM</t>
        </is>
      </c>
      <c r="Y129" s="10" t="inlineStr">
        <is>
          <t>Scheduled</t>
        </is>
      </c>
      <c r="Z129" s="11" t="n"/>
      <c r="AA129" s="10" t="inlineStr"/>
      <c r="AB129" s="10" t="inlineStr"/>
      <c r="AC129" s="10" t="n"/>
      <c r="AD129" s="10" t="n"/>
      <c r="AE129" s="10" t="n"/>
      <c r="AF129" s="10" t="n"/>
      <c r="AG129" s="10" t="n"/>
      <c r="AH129" s="10" t="n"/>
      <c r="AI129" s="10" t="n"/>
      <c r="AJ129" s="10" t="n"/>
      <c r="AK129" s="10" t="n"/>
      <c r="AL129" s="10" t="n"/>
      <c r="AM129" s="10" t="inlineStr">
        <is>
          <t>No</t>
        </is>
      </c>
      <c r="AN129" s="10" t="n"/>
      <c r="AO129" s="10" t="n"/>
      <c r="AP129" s="10">
        <f>IF(AND(AC129&lt;&gt;"",AO129&lt;&gt;"",AO129&gt;0),AC129/AO129,"")</f>
        <v/>
      </c>
      <c r="AQ129" s="10">
        <f>IF(AP129="","",IF(AP129&gt;=2,"A",IF(AP129&gt;=1.2,"B",IF(AP129&gt;=0.6,"C","D"))))</f>
        <v/>
      </c>
      <c r="AR129" s="10" t="inlineStr"/>
      <c r="AS129" s="11" t="inlineStr"/>
      <c r="AT129" s="10" t="inlineStr"/>
    </row>
    <row r="130">
      <c r="A130" s="10" t="inlineStr">
        <is>
          <t>W07-U1-LI</t>
        </is>
      </c>
      <c r="B130" s="10" t="inlineStr">
        <is>
          <t>W07-U1</t>
        </is>
      </c>
      <c r="C130" s="10" t="n">
        <v>7</v>
      </c>
      <c r="D130" s="11" t="n">
        <v>46279</v>
      </c>
      <c r="E130" s="10" t="inlineStr">
        <is>
          <t>Monday</t>
        </is>
      </c>
      <c r="F130" s="10" t="inlineStr">
        <is>
          <t>Ray</t>
        </is>
      </c>
      <c r="G130" s="10" t="inlineStr">
        <is>
          <t>Your regulars, remembered automatically.</t>
        </is>
      </c>
      <c r="H130" s="10" t="inlineStr">
        <is>
          <t>Educate</t>
        </is>
      </c>
      <c r="I130" s="10" t="inlineStr">
        <is>
          <t>Text</t>
        </is>
      </c>
      <c r="J130" s="10" t="inlineStr">
        <is>
          <t>LinkedIn</t>
        </is>
      </c>
      <c r="K130" s="10" t="inlineStr">
        <is>
          <t>Primary</t>
        </is>
      </c>
      <c r="L130" s="10" t="inlineStr">
        <is>
          <t>SHAFT and TCPA for smoke/vape retail marketing</t>
        </is>
      </c>
      <c r="M130" s="10" t="inlineStr">
        <is>
          <t>Read more (link)</t>
        </is>
      </c>
      <c r="N130" s="10" t="inlineStr">
        <is>
          <t>Yes</t>
        </is>
      </c>
      <c r="O130" s="10" t="inlineStr">
        <is>
          <t>No</t>
        </is>
      </c>
      <c r="P130" s="10" t="inlineStr">
        <is>
          <t>Not started</t>
        </is>
      </c>
      <c r="Q130" s="10" t="inlineStr">
        <is>
          <t>Not started</t>
        </is>
      </c>
      <c r="R130" s="10" t="inlineStr"/>
      <c r="S130" s="10" t="inlineStr"/>
      <c r="T130" s="10" t="inlineStr"/>
      <c r="U130" s="10" t="n"/>
      <c r="V130" s="10">
        <f>IF(U130="","",IF(U130&gt;=70,"Pass","Hold"))</f>
        <v/>
      </c>
      <c r="W130" s="11" t="n">
        <v>46279</v>
      </c>
      <c r="X130" s="10" t="inlineStr">
        <is>
          <t>10:00 AM</t>
        </is>
      </c>
      <c r="Y130" s="10" t="inlineStr">
        <is>
          <t>Scheduled</t>
        </is>
      </c>
      <c r="Z130" s="11" t="n"/>
      <c r="AA130" s="10" t="inlineStr"/>
      <c r="AB130" s="10" t="inlineStr"/>
      <c r="AC130" s="10" t="n"/>
      <c r="AD130" s="10" t="n"/>
      <c r="AE130" s="10" t="n"/>
      <c r="AF130" s="10" t="n"/>
      <c r="AG130" s="10" t="n"/>
      <c r="AH130" s="10" t="n"/>
      <c r="AI130" s="10" t="n"/>
      <c r="AJ130" s="10" t="n"/>
      <c r="AK130" s="10" t="n"/>
      <c r="AL130" s="10" t="n"/>
      <c r="AM130" s="10" t="inlineStr">
        <is>
          <t>No</t>
        </is>
      </c>
      <c r="AN130" s="10" t="n"/>
      <c r="AO130" s="10" t="n"/>
      <c r="AP130" s="10">
        <f>IF(AND(AC130&lt;&gt;"",AO130&lt;&gt;"",AO130&gt;0),AC130/AO130,"")</f>
        <v/>
      </c>
      <c r="AQ130" s="10">
        <f>IF(AP130="","",IF(AP130&gt;=2,"A",IF(AP130&gt;=1.2,"B",IF(AP130&gt;=0.6,"C","D"))))</f>
        <v/>
      </c>
      <c r="AR130" s="10" t="inlineStr"/>
      <c r="AS130" s="11" t="inlineStr"/>
      <c r="AT130" s="10" t="inlineStr"/>
    </row>
    <row r="131">
      <c r="A131" s="10" t="inlineStr">
        <is>
          <t>W07-U1-FA</t>
        </is>
      </c>
      <c r="B131" s="10" t="inlineStr">
        <is>
          <t>W07-U1</t>
        </is>
      </c>
      <c r="C131" s="10" t="n">
        <v>7</v>
      </c>
      <c r="D131" s="11" t="n">
        <v>46279</v>
      </c>
      <c r="E131" s="10" t="inlineStr">
        <is>
          <t>Monday</t>
        </is>
      </c>
      <c r="F131" s="10" t="inlineStr">
        <is>
          <t>Ray</t>
        </is>
      </c>
      <c r="G131" s="10" t="inlineStr">
        <is>
          <t>Your regulars, remembered automatically.</t>
        </is>
      </c>
      <c r="H131" s="10" t="inlineStr">
        <is>
          <t>Educate</t>
        </is>
      </c>
      <c r="I131" s="10" t="inlineStr">
        <is>
          <t>Text</t>
        </is>
      </c>
      <c r="J131" s="10" t="inlineStr">
        <is>
          <t>Facebook</t>
        </is>
      </c>
      <c r="K131" s="10" t="inlineStr">
        <is>
          <t>Primary</t>
        </is>
      </c>
      <c r="L131" s="10" t="inlineStr">
        <is>
          <t>SHAFT and TCPA for smoke/vape retail marketing</t>
        </is>
      </c>
      <c r="M131" s="10" t="inlineStr">
        <is>
          <t>Read more (link)</t>
        </is>
      </c>
      <c r="N131" s="10" t="inlineStr">
        <is>
          <t>Yes</t>
        </is>
      </c>
      <c r="O131" s="10" t="inlineStr">
        <is>
          <t>No</t>
        </is>
      </c>
      <c r="P131" s="10" t="inlineStr">
        <is>
          <t>Not started</t>
        </is>
      </c>
      <c r="Q131" s="10" t="inlineStr">
        <is>
          <t>Not started</t>
        </is>
      </c>
      <c r="R131" s="10" t="inlineStr"/>
      <c r="S131" s="10" t="inlineStr"/>
      <c r="T131" s="10" t="inlineStr"/>
      <c r="U131" s="10" t="n"/>
      <c r="V131" s="10">
        <f>IF(U131="","",IF(U131&gt;=70,"Pass","Hold"))</f>
        <v/>
      </c>
      <c r="W131" s="11" t="n">
        <v>46279</v>
      </c>
      <c r="X131" s="10" t="inlineStr">
        <is>
          <t>10:00 AM</t>
        </is>
      </c>
      <c r="Y131" s="10" t="inlineStr">
        <is>
          <t>Scheduled</t>
        </is>
      </c>
      <c r="Z131" s="11" t="n"/>
      <c r="AA131" s="10" t="inlineStr"/>
      <c r="AB131" s="10" t="inlineStr"/>
      <c r="AC131" s="10" t="n"/>
      <c r="AD131" s="10" t="n"/>
      <c r="AE131" s="10" t="n"/>
      <c r="AF131" s="10" t="n"/>
      <c r="AG131" s="10" t="n"/>
      <c r="AH131" s="10" t="n"/>
      <c r="AI131" s="10" t="n"/>
      <c r="AJ131" s="10" t="n"/>
      <c r="AK131" s="10" t="n"/>
      <c r="AL131" s="10" t="n"/>
      <c r="AM131" s="10" t="inlineStr">
        <is>
          <t>No</t>
        </is>
      </c>
      <c r="AN131" s="10" t="n"/>
      <c r="AO131" s="10" t="n"/>
      <c r="AP131" s="10">
        <f>IF(AND(AC131&lt;&gt;"",AO131&lt;&gt;"",AO131&gt;0),AC131/AO131,"")</f>
        <v/>
      </c>
      <c r="AQ131" s="10">
        <f>IF(AP131="","",IF(AP131&gt;=2,"A",IF(AP131&gt;=1.2,"B",IF(AP131&gt;=0.6,"C","D"))))</f>
        <v/>
      </c>
      <c r="AR131" s="10" t="inlineStr"/>
      <c r="AS131" s="11" t="inlineStr"/>
      <c r="AT131" s="10" t="inlineStr"/>
    </row>
    <row r="132">
      <c r="A132" s="10" t="inlineStr">
        <is>
          <t>W07-U1-BL</t>
        </is>
      </c>
      <c r="B132" s="10" t="inlineStr">
        <is>
          <t>W07-U1</t>
        </is>
      </c>
      <c r="C132" s="10" t="n">
        <v>7</v>
      </c>
      <c r="D132" s="11" t="n">
        <v>46279</v>
      </c>
      <c r="E132" s="10" t="inlineStr">
        <is>
          <t>Monday</t>
        </is>
      </c>
      <c r="F132" s="10" t="inlineStr">
        <is>
          <t>Ray</t>
        </is>
      </c>
      <c r="G132" s="10" t="inlineStr">
        <is>
          <t>Your regulars, remembered automatically.</t>
        </is>
      </c>
      <c r="H132" s="10" t="inlineStr">
        <is>
          <t>Educate</t>
        </is>
      </c>
      <c r="I132" s="10" t="inlineStr">
        <is>
          <t>Text</t>
        </is>
      </c>
      <c r="J132" s="10" t="inlineStr">
        <is>
          <t>Blog/SEO</t>
        </is>
      </c>
      <c r="K132" s="10" t="inlineStr">
        <is>
          <t>Primary</t>
        </is>
      </c>
      <c r="L132" s="10" t="inlineStr">
        <is>
          <t>SHAFT and TCPA for smoke/vape retail marketing</t>
        </is>
      </c>
      <c r="M132" s="10" t="inlineStr">
        <is>
          <t>Read more (link)</t>
        </is>
      </c>
      <c r="N132" s="10" t="inlineStr">
        <is>
          <t>Yes</t>
        </is>
      </c>
      <c r="O132" s="10" t="inlineStr">
        <is>
          <t>No</t>
        </is>
      </c>
      <c r="P132" s="10" t="inlineStr">
        <is>
          <t>Not started</t>
        </is>
      </c>
      <c r="Q132" s="10" t="inlineStr">
        <is>
          <t>Not started</t>
        </is>
      </c>
      <c r="R132" s="10" t="inlineStr"/>
      <c r="S132" s="10" t="inlineStr"/>
      <c r="T132" s="10" t="inlineStr"/>
      <c r="U132" s="10" t="n"/>
      <c r="V132" s="10">
        <f>IF(U132="","",IF(U132&gt;=70,"Pass","Hold"))</f>
        <v/>
      </c>
      <c r="W132" s="11" t="n">
        <v>46279</v>
      </c>
      <c r="X132" s="10" t="inlineStr">
        <is>
          <t>10:00 AM</t>
        </is>
      </c>
      <c r="Y132" s="10" t="inlineStr">
        <is>
          <t>Scheduled</t>
        </is>
      </c>
      <c r="Z132" s="11" t="n"/>
      <c r="AA132" s="10" t="inlineStr"/>
      <c r="AB132" s="10" t="inlineStr"/>
      <c r="AC132" s="10" t="n"/>
      <c r="AD132" s="10" t="n"/>
      <c r="AE132" s="10" t="n"/>
      <c r="AF132" s="10" t="n"/>
      <c r="AG132" s="10" t="n"/>
      <c r="AH132" s="10" t="n"/>
      <c r="AI132" s="10" t="n"/>
      <c r="AJ132" s="10" t="n"/>
      <c r="AK132" s="10" t="n"/>
      <c r="AL132" s="10" t="n"/>
      <c r="AM132" s="10" t="inlineStr">
        <is>
          <t>No</t>
        </is>
      </c>
      <c r="AN132" s="10" t="n"/>
      <c r="AO132" s="10" t="n"/>
      <c r="AP132" s="10">
        <f>IF(AND(AC132&lt;&gt;"",AO132&lt;&gt;"",AO132&gt;0),AC132/AO132,"")</f>
        <v/>
      </c>
      <c r="AQ132" s="10">
        <f>IF(AP132="","",IF(AP132&gt;=2,"A",IF(AP132&gt;=1.2,"B",IF(AP132&gt;=0.6,"C","D"))))</f>
        <v/>
      </c>
      <c r="AR132" s="10" t="inlineStr"/>
      <c r="AS132" s="11" t="inlineStr"/>
      <c r="AT132" s="10" t="inlineStr"/>
    </row>
    <row r="133">
      <c r="A133" s="10" t="inlineStr">
        <is>
          <t>W07-U1-X</t>
        </is>
      </c>
      <c r="B133" s="10" t="inlineStr">
        <is>
          <t>W07-U1</t>
        </is>
      </c>
      <c r="C133" s="10" t="n">
        <v>7</v>
      </c>
      <c r="D133" s="11" t="n">
        <v>46279</v>
      </c>
      <c r="E133" s="10" t="inlineStr">
        <is>
          <t>Monday</t>
        </is>
      </c>
      <c r="F133" s="10" t="inlineStr">
        <is>
          <t>Ray</t>
        </is>
      </c>
      <c r="G133" s="10" t="inlineStr">
        <is>
          <t>Your regulars, remembered automatically.</t>
        </is>
      </c>
      <c r="H133" s="10" t="inlineStr">
        <is>
          <t>Educate</t>
        </is>
      </c>
      <c r="I133" s="10" t="inlineStr">
        <is>
          <t>Text</t>
        </is>
      </c>
      <c r="J133" s="10" t="inlineStr">
        <is>
          <t>X</t>
        </is>
      </c>
      <c r="K133" s="10" t="inlineStr">
        <is>
          <t>Mirror</t>
        </is>
      </c>
      <c r="L133" s="10" t="inlineStr">
        <is>
          <t>SHAFT and TCPA for smoke/vape retail marketing</t>
        </is>
      </c>
      <c r="M133" s="10" t="inlineStr">
        <is>
          <t>Read more (link)</t>
        </is>
      </c>
      <c r="N133" s="10" t="inlineStr">
        <is>
          <t>Yes</t>
        </is>
      </c>
      <c r="O133" s="10" t="inlineStr">
        <is>
          <t>No</t>
        </is>
      </c>
      <c r="P133" s="10" t="inlineStr">
        <is>
          <t>Not started</t>
        </is>
      </c>
      <c r="Q133" s="10" t="inlineStr">
        <is>
          <t>Not started</t>
        </is>
      </c>
      <c r="R133" s="10" t="inlineStr"/>
      <c r="S133" s="10" t="inlineStr"/>
      <c r="T133" s="10" t="inlineStr"/>
      <c r="U133" s="10" t="n"/>
      <c r="V133" s="10">
        <f>IF(U133="","",IF(U133&gt;=70,"Pass","Hold"))</f>
        <v/>
      </c>
      <c r="W133" s="11" t="n">
        <v>46279</v>
      </c>
      <c r="X133" s="10" t="inlineStr">
        <is>
          <t>10:00 AM</t>
        </is>
      </c>
      <c r="Y133" s="10" t="inlineStr">
        <is>
          <t>Scheduled</t>
        </is>
      </c>
      <c r="Z133" s="11" t="n"/>
      <c r="AA133" s="10" t="inlineStr"/>
      <c r="AB133" s="10" t="inlineStr"/>
      <c r="AC133" s="10" t="n"/>
      <c r="AD133" s="10" t="n"/>
      <c r="AE133" s="10" t="n"/>
      <c r="AF133" s="10" t="n"/>
      <c r="AG133" s="10" t="n"/>
      <c r="AH133" s="10" t="n"/>
      <c r="AI133" s="10" t="n"/>
      <c r="AJ133" s="10" t="n"/>
      <c r="AK133" s="10" t="n"/>
      <c r="AL133" s="10" t="n"/>
      <c r="AM133" s="10" t="inlineStr">
        <is>
          <t>No</t>
        </is>
      </c>
      <c r="AN133" s="10" t="n"/>
      <c r="AO133" s="10" t="n"/>
      <c r="AP133" s="10">
        <f>IF(AND(AC133&lt;&gt;"",AO133&lt;&gt;"",AO133&gt;0),AC133/AO133,"")</f>
        <v/>
      </c>
      <c r="AQ133" s="10">
        <f>IF(AP133="","",IF(AP133&gt;=2,"A",IF(AP133&gt;=1.2,"B",IF(AP133&gt;=0.6,"C","D"))))</f>
        <v/>
      </c>
      <c r="AR133" s="10" t="inlineStr"/>
      <c r="AS133" s="11" t="inlineStr"/>
      <c r="AT133" s="10" t="inlineStr"/>
    </row>
    <row r="134">
      <c r="A134" s="10" t="inlineStr">
        <is>
          <t>W07-U2-IN</t>
        </is>
      </c>
      <c r="B134" s="10" t="inlineStr">
        <is>
          <t>W07-U2</t>
        </is>
      </c>
      <c r="C134" s="10" t="n">
        <v>7</v>
      </c>
      <c r="D134" s="11" t="n">
        <v>46280</v>
      </c>
      <c r="E134" s="10" t="inlineStr">
        <is>
          <t>Tuesday</t>
        </is>
      </c>
      <c r="F134" s="10" t="inlineStr">
        <is>
          <t>Ray</t>
        </is>
      </c>
      <c r="G134" s="10" t="inlineStr">
        <is>
          <t>Your regulars, remembered automatically.</t>
        </is>
      </c>
      <c r="H134" s="10" t="inlineStr">
        <is>
          <t>Educate</t>
        </is>
      </c>
      <c r="I134" s="10" t="inlineStr">
        <is>
          <t>Carousel</t>
        </is>
      </c>
      <c r="J134" s="10" t="inlineStr">
        <is>
          <t>Instagram</t>
        </is>
      </c>
      <c r="K134" s="10" t="inlineStr">
        <is>
          <t>Primary</t>
        </is>
      </c>
      <c r="L134" s="10" t="inlineStr">
        <is>
          <t>Reward variety, not volume</t>
        </is>
      </c>
      <c r="M134" s="10" t="inlineStr">
        <is>
          <t>Book a demo</t>
        </is>
      </c>
      <c r="N134" s="10" t="inlineStr">
        <is>
          <t>Yes</t>
        </is>
      </c>
      <c r="O134" s="10" t="inlineStr">
        <is>
          <t>No</t>
        </is>
      </c>
      <c r="P134" s="10" t="inlineStr">
        <is>
          <t>Not started</t>
        </is>
      </c>
      <c r="Q134" s="10" t="inlineStr">
        <is>
          <t>Not started</t>
        </is>
      </c>
      <c r="R134" s="10" t="inlineStr"/>
      <c r="S134" s="10" t="inlineStr"/>
      <c r="T134" s="10" t="inlineStr"/>
      <c r="U134" s="10" t="n"/>
      <c r="V134" s="10">
        <f>IF(U134="","",IF(U134&gt;=70,"Pass","Hold"))</f>
        <v/>
      </c>
      <c r="W134" s="11" t="n">
        <v>46280</v>
      </c>
      <c r="X134" s="10" t="inlineStr">
        <is>
          <t>10:00 AM</t>
        </is>
      </c>
      <c r="Y134" s="10" t="inlineStr">
        <is>
          <t>Scheduled</t>
        </is>
      </c>
      <c r="Z134" s="11" t="n"/>
      <c r="AA134" s="10" t="inlineStr"/>
      <c r="AB134" s="10" t="inlineStr"/>
      <c r="AC134" s="10" t="n"/>
      <c r="AD134" s="10" t="n"/>
      <c r="AE134" s="10" t="n"/>
      <c r="AF134" s="10" t="n"/>
      <c r="AG134" s="10" t="n"/>
      <c r="AH134" s="10" t="n"/>
      <c r="AI134" s="10" t="n"/>
      <c r="AJ134" s="10" t="n"/>
      <c r="AK134" s="10" t="n"/>
      <c r="AL134" s="10" t="n"/>
      <c r="AM134" s="10" t="inlineStr">
        <is>
          <t>No</t>
        </is>
      </c>
      <c r="AN134" s="10" t="n"/>
      <c r="AO134" s="10" t="n"/>
      <c r="AP134" s="10">
        <f>IF(AND(AC134&lt;&gt;"",AO134&lt;&gt;"",AO134&gt;0),AC134/AO134,"")</f>
        <v/>
      </c>
      <c r="AQ134" s="10">
        <f>IF(AP134="","",IF(AP134&gt;=2,"A",IF(AP134&gt;=1.2,"B",IF(AP134&gt;=0.6,"C","D"))))</f>
        <v/>
      </c>
      <c r="AR134" s="10" t="inlineStr"/>
      <c r="AS134" s="11" t="inlineStr"/>
      <c r="AT134" s="10" t="inlineStr"/>
    </row>
    <row r="135">
      <c r="A135" s="10" t="inlineStr">
        <is>
          <t>W07-U2-FA</t>
        </is>
      </c>
      <c r="B135" s="10" t="inlineStr">
        <is>
          <t>W07-U2</t>
        </is>
      </c>
      <c r="C135" s="10" t="n">
        <v>7</v>
      </c>
      <c r="D135" s="11" t="n">
        <v>46280</v>
      </c>
      <c r="E135" s="10" t="inlineStr">
        <is>
          <t>Tuesday</t>
        </is>
      </c>
      <c r="F135" s="10" t="inlineStr">
        <is>
          <t>Ray</t>
        </is>
      </c>
      <c r="G135" s="10" t="inlineStr">
        <is>
          <t>Your regulars, remembered automatically.</t>
        </is>
      </c>
      <c r="H135" s="10" t="inlineStr">
        <is>
          <t>Educate</t>
        </is>
      </c>
      <c r="I135" s="10" t="inlineStr">
        <is>
          <t>Carousel</t>
        </is>
      </c>
      <c r="J135" s="10" t="inlineStr">
        <is>
          <t>Facebook</t>
        </is>
      </c>
      <c r="K135" s="10" t="inlineStr">
        <is>
          <t>Mirror</t>
        </is>
      </c>
      <c r="L135" s="10" t="inlineStr">
        <is>
          <t>Reward variety, not volume</t>
        </is>
      </c>
      <c r="M135" s="10" t="inlineStr">
        <is>
          <t>Book a demo</t>
        </is>
      </c>
      <c r="N135" s="10" t="inlineStr">
        <is>
          <t>Yes</t>
        </is>
      </c>
      <c r="O135" s="10" t="inlineStr">
        <is>
          <t>No</t>
        </is>
      </c>
      <c r="P135" s="10" t="inlineStr">
        <is>
          <t>Not started</t>
        </is>
      </c>
      <c r="Q135" s="10" t="inlineStr">
        <is>
          <t>Not started</t>
        </is>
      </c>
      <c r="R135" s="10" t="inlineStr"/>
      <c r="S135" s="10" t="inlineStr"/>
      <c r="T135" s="10" t="inlineStr"/>
      <c r="U135" s="10" t="n"/>
      <c r="V135" s="10">
        <f>IF(U135="","",IF(U135&gt;=70,"Pass","Hold"))</f>
        <v/>
      </c>
      <c r="W135" s="11" t="n">
        <v>46280</v>
      </c>
      <c r="X135" s="10" t="inlineStr">
        <is>
          <t>10:00 AM</t>
        </is>
      </c>
      <c r="Y135" s="10" t="inlineStr">
        <is>
          <t>Scheduled</t>
        </is>
      </c>
      <c r="Z135" s="11" t="n"/>
      <c r="AA135" s="10" t="inlineStr"/>
      <c r="AB135" s="10" t="inlineStr"/>
      <c r="AC135" s="10" t="n"/>
      <c r="AD135" s="10" t="n"/>
      <c r="AE135" s="10" t="n"/>
      <c r="AF135" s="10" t="n"/>
      <c r="AG135" s="10" t="n"/>
      <c r="AH135" s="10" t="n"/>
      <c r="AI135" s="10" t="n"/>
      <c r="AJ135" s="10" t="n"/>
      <c r="AK135" s="10" t="n"/>
      <c r="AL135" s="10" t="n"/>
      <c r="AM135" s="10" t="inlineStr">
        <is>
          <t>No</t>
        </is>
      </c>
      <c r="AN135" s="10" t="n"/>
      <c r="AO135" s="10" t="n"/>
      <c r="AP135" s="10">
        <f>IF(AND(AC135&lt;&gt;"",AO135&lt;&gt;"",AO135&gt;0),AC135/AO135,"")</f>
        <v/>
      </c>
      <c r="AQ135" s="10">
        <f>IF(AP135="","",IF(AP135&gt;=2,"A",IF(AP135&gt;=1.2,"B",IF(AP135&gt;=0.6,"C","D"))))</f>
        <v/>
      </c>
      <c r="AR135" s="10" t="inlineStr"/>
      <c r="AS135" s="11" t="inlineStr"/>
      <c r="AT135" s="10" t="inlineStr"/>
    </row>
    <row r="136">
      <c r="A136" s="10" t="inlineStr">
        <is>
          <t>W07-U2-LI</t>
        </is>
      </c>
      <c r="B136" s="10" t="inlineStr">
        <is>
          <t>W07-U2</t>
        </is>
      </c>
      <c r="C136" s="10" t="n">
        <v>7</v>
      </c>
      <c r="D136" s="11" t="n">
        <v>46280</v>
      </c>
      <c r="E136" s="10" t="inlineStr">
        <is>
          <t>Tuesday</t>
        </is>
      </c>
      <c r="F136" s="10" t="inlineStr">
        <is>
          <t>Ray</t>
        </is>
      </c>
      <c r="G136" s="10" t="inlineStr">
        <is>
          <t>Your regulars, remembered automatically.</t>
        </is>
      </c>
      <c r="H136" s="10" t="inlineStr">
        <is>
          <t>Educate</t>
        </is>
      </c>
      <c r="I136" s="10" t="inlineStr">
        <is>
          <t>Carousel</t>
        </is>
      </c>
      <c r="J136" s="10" t="inlineStr">
        <is>
          <t>LinkedIn</t>
        </is>
      </c>
      <c r="K136" s="10" t="inlineStr">
        <is>
          <t>Adapted</t>
        </is>
      </c>
      <c r="L136" s="10" t="inlineStr">
        <is>
          <t>Reward variety, not volume</t>
        </is>
      </c>
      <c r="M136" s="10" t="inlineStr">
        <is>
          <t>Book a demo</t>
        </is>
      </c>
      <c r="N136" s="10" t="inlineStr">
        <is>
          <t>Yes</t>
        </is>
      </c>
      <c r="O136" s="10" t="inlineStr">
        <is>
          <t>No</t>
        </is>
      </c>
      <c r="P136" s="10" t="inlineStr">
        <is>
          <t>Not started</t>
        </is>
      </c>
      <c r="Q136" s="10" t="inlineStr">
        <is>
          <t>Not started</t>
        </is>
      </c>
      <c r="R136" s="10" t="inlineStr"/>
      <c r="S136" s="10" t="inlineStr"/>
      <c r="T136" s="10" t="inlineStr"/>
      <c r="U136" s="10" t="n"/>
      <c r="V136" s="10">
        <f>IF(U136="","",IF(U136&gt;=70,"Pass","Hold"))</f>
        <v/>
      </c>
      <c r="W136" s="11" t="n">
        <v>46280</v>
      </c>
      <c r="X136" s="10" t="inlineStr">
        <is>
          <t>10:00 AM</t>
        </is>
      </c>
      <c r="Y136" s="10" t="inlineStr">
        <is>
          <t>Scheduled</t>
        </is>
      </c>
      <c r="Z136" s="11" t="n"/>
      <c r="AA136" s="10" t="inlineStr"/>
      <c r="AB136" s="10" t="inlineStr"/>
      <c r="AC136" s="10" t="n"/>
      <c r="AD136" s="10" t="n"/>
      <c r="AE136" s="10" t="n"/>
      <c r="AF136" s="10" t="n"/>
      <c r="AG136" s="10" t="n"/>
      <c r="AH136" s="10" t="n"/>
      <c r="AI136" s="10" t="n"/>
      <c r="AJ136" s="10" t="n"/>
      <c r="AK136" s="10" t="n"/>
      <c r="AL136" s="10" t="n"/>
      <c r="AM136" s="10" t="inlineStr">
        <is>
          <t>No</t>
        </is>
      </c>
      <c r="AN136" s="10" t="n"/>
      <c r="AO136" s="10" t="n"/>
      <c r="AP136" s="10">
        <f>IF(AND(AC136&lt;&gt;"",AO136&lt;&gt;"",AO136&gt;0),AC136/AO136,"")</f>
        <v/>
      </c>
      <c r="AQ136" s="10">
        <f>IF(AP136="","",IF(AP136&gt;=2,"A",IF(AP136&gt;=1.2,"B",IF(AP136&gt;=0.6,"C","D"))))</f>
        <v/>
      </c>
      <c r="AR136" s="10" t="inlineStr"/>
      <c r="AS136" s="11" t="inlineStr"/>
      <c r="AT136" s="10" t="inlineStr"/>
    </row>
    <row r="137">
      <c r="A137" s="10" t="inlineStr">
        <is>
          <t>W07-U3-TI</t>
        </is>
      </c>
      <c r="B137" s="10" t="inlineStr">
        <is>
          <t>W07-U3</t>
        </is>
      </c>
      <c r="C137" s="10" t="n">
        <v>7</v>
      </c>
      <c r="D137" s="11" t="n">
        <v>46281</v>
      </c>
      <c r="E137" s="10" t="inlineStr">
        <is>
          <t>Wednesday</t>
        </is>
      </c>
      <c r="F137" s="10" t="inlineStr">
        <is>
          <t>Ray</t>
        </is>
      </c>
      <c r="G137" s="10" t="inlineStr">
        <is>
          <t>Your regulars, remembered automatically.</t>
        </is>
      </c>
      <c r="H137" s="10" t="inlineStr">
        <is>
          <t>Inspire</t>
        </is>
      </c>
      <c r="I137" s="10" t="inlineStr">
        <is>
          <t>Video</t>
        </is>
      </c>
      <c r="J137" s="10" t="inlineStr">
        <is>
          <t>TikTok</t>
        </is>
      </c>
      <c r="K137" s="10" t="inlineStr">
        <is>
          <t>Primary</t>
        </is>
      </c>
      <c r="L137" s="10" t="inlineStr">
        <is>
          <t>The consultative sale</t>
        </is>
      </c>
      <c r="M137" s="10" t="inlineStr">
        <is>
          <t>Book a demo</t>
        </is>
      </c>
      <c r="N137" s="10" t="inlineStr">
        <is>
          <t>No</t>
        </is>
      </c>
      <c r="O137" s="10" t="inlineStr">
        <is>
          <t>No</t>
        </is>
      </c>
      <c r="P137" s="10" t="inlineStr">
        <is>
          <t>Not started</t>
        </is>
      </c>
      <c r="Q137" s="10" t="inlineStr">
        <is>
          <t>Not started</t>
        </is>
      </c>
      <c r="R137" s="10" t="inlineStr"/>
      <c r="S137" s="10" t="inlineStr"/>
      <c r="T137" s="10" t="inlineStr"/>
      <c r="U137" s="10" t="n"/>
      <c r="V137" s="10">
        <f>IF(U137="","",IF(U137&gt;=70,"Pass","Hold"))</f>
        <v/>
      </c>
      <c r="W137" s="11" t="n">
        <v>46281</v>
      </c>
      <c r="X137" s="10" t="inlineStr">
        <is>
          <t>10:00 AM</t>
        </is>
      </c>
      <c r="Y137" s="10" t="inlineStr">
        <is>
          <t>Scheduled</t>
        </is>
      </c>
      <c r="Z137" s="11" t="n"/>
      <c r="AA137" s="10" t="inlineStr"/>
      <c r="AB137" s="10" t="inlineStr"/>
      <c r="AC137" s="10" t="n"/>
      <c r="AD137" s="10" t="n"/>
      <c r="AE137" s="10" t="n"/>
      <c r="AF137" s="10" t="n"/>
      <c r="AG137" s="10" t="n"/>
      <c r="AH137" s="10" t="n"/>
      <c r="AI137" s="10" t="n"/>
      <c r="AJ137" s="10" t="n"/>
      <c r="AK137" s="10" t="n"/>
      <c r="AL137" s="10" t="n"/>
      <c r="AM137" s="10" t="inlineStr">
        <is>
          <t>No</t>
        </is>
      </c>
      <c r="AN137" s="10" t="n"/>
      <c r="AO137" s="10" t="n"/>
      <c r="AP137" s="10">
        <f>IF(AND(AC137&lt;&gt;"",AO137&lt;&gt;"",AO137&gt;0),AC137/AO137,"")</f>
        <v/>
      </c>
      <c r="AQ137" s="10">
        <f>IF(AP137="","",IF(AP137&gt;=2,"A",IF(AP137&gt;=1.2,"B",IF(AP137&gt;=0.6,"C","D"))))</f>
        <v/>
      </c>
      <c r="AR137" s="10" t="inlineStr"/>
      <c r="AS137" s="11" t="inlineStr"/>
      <c r="AT137" s="10" t="inlineStr"/>
    </row>
    <row r="138">
      <c r="A138" s="10" t="inlineStr">
        <is>
          <t>W07-U3-IN</t>
        </is>
      </c>
      <c r="B138" s="10" t="inlineStr">
        <is>
          <t>W07-U3</t>
        </is>
      </c>
      <c r="C138" s="10" t="n">
        <v>7</v>
      </c>
      <c r="D138" s="11" t="n">
        <v>46281</v>
      </c>
      <c r="E138" s="10" t="inlineStr">
        <is>
          <t>Wednesday</t>
        </is>
      </c>
      <c r="F138" s="10" t="inlineStr">
        <is>
          <t>Ray</t>
        </is>
      </c>
      <c r="G138" s="10" t="inlineStr">
        <is>
          <t>Your regulars, remembered automatically.</t>
        </is>
      </c>
      <c r="H138" s="10" t="inlineStr">
        <is>
          <t>Inspire</t>
        </is>
      </c>
      <c r="I138" s="10" t="inlineStr">
        <is>
          <t>Video</t>
        </is>
      </c>
      <c r="J138" s="10" t="inlineStr">
        <is>
          <t>Instagram</t>
        </is>
      </c>
      <c r="K138" s="10" t="inlineStr">
        <is>
          <t>Mirror</t>
        </is>
      </c>
      <c r="L138" s="10" t="inlineStr">
        <is>
          <t>The consultative sale</t>
        </is>
      </c>
      <c r="M138" s="10" t="inlineStr">
        <is>
          <t>Book a demo</t>
        </is>
      </c>
      <c r="N138" s="10" t="inlineStr">
        <is>
          <t>No</t>
        </is>
      </c>
      <c r="O138" s="10" t="inlineStr">
        <is>
          <t>No</t>
        </is>
      </c>
      <c r="P138" s="10" t="inlineStr">
        <is>
          <t>Not started</t>
        </is>
      </c>
      <c r="Q138" s="10" t="inlineStr">
        <is>
          <t>Not started</t>
        </is>
      </c>
      <c r="R138" s="10" t="inlineStr"/>
      <c r="S138" s="10" t="inlineStr"/>
      <c r="T138" s="10" t="inlineStr"/>
      <c r="U138" s="10" t="n"/>
      <c r="V138" s="10">
        <f>IF(U138="","",IF(U138&gt;=70,"Pass","Hold"))</f>
        <v/>
      </c>
      <c r="W138" s="11" t="n">
        <v>46281</v>
      </c>
      <c r="X138" s="10" t="inlineStr">
        <is>
          <t>10:00 AM</t>
        </is>
      </c>
      <c r="Y138" s="10" t="inlineStr">
        <is>
          <t>Scheduled</t>
        </is>
      </c>
      <c r="Z138" s="11" t="n"/>
      <c r="AA138" s="10" t="inlineStr"/>
      <c r="AB138" s="10" t="inlineStr"/>
      <c r="AC138" s="10" t="n"/>
      <c r="AD138" s="10" t="n"/>
      <c r="AE138" s="10" t="n"/>
      <c r="AF138" s="10" t="n"/>
      <c r="AG138" s="10" t="n"/>
      <c r="AH138" s="10" t="n"/>
      <c r="AI138" s="10" t="n"/>
      <c r="AJ138" s="10" t="n"/>
      <c r="AK138" s="10" t="n"/>
      <c r="AL138" s="10" t="n"/>
      <c r="AM138" s="10" t="inlineStr">
        <is>
          <t>No</t>
        </is>
      </c>
      <c r="AN138" s="10" t="n"/>
      <c r="AO138" s="10" t="n"/>
      <c r="AP138" s="10">
        <f>IF(AND(AC138&lt;&gt;"",AO138&lt;&gt;"",AO138&gt;0),AC138/AO138,"")</f>
        <v/>
      </c>
      <c r="AQ138" s="10">
        <f>IF(AP138="","",IF(AP138&gt;=2,"A",IF(AP138&gt;=1.2,"B",IF(AP138&gt;=0.6,"C","D"))))</f>
        <v/>
      </c>
      <c r="AR138" s="10" t="inlineStr"/>
      <c r="AS138" s="11" t="inlineStr"/>
      <c r="AT138" s="10" t="inlineStr"/>
    </row>
    <row r="139">
      <c r="A139" s="10" t="inlineStr">
        <is>
          <t>W07-U4-LI</t>
        </is>
      </c>
      <c r="B139" s="10" t="inlineStr">
        <is>
          <t>W07-U4</t>
        </is>
      </c>
      <c r="C139" s="10" t="n">
        <v>7</v>
      </c>
      <c r="D139" s="11" t="n">
        <v>46282</v>
      </c>
      <c r="E139" s="10" t="inlineStr">
        <is>
          <t>Thursday</t>
        </is>
      </c>
      <c r="F139" s="10" t="inlineStr">
        <is>
          <t>Ray</t>
        </is>
      </c>
      <c r="G139" s="10" t="inlineStr">
        <is>
          <t>Your regulars, remembered automatically.</t>
        </is>
      </c>
      <c r="H139" s="10" t="inlineStr">
        <is>
          <t>Engage</t>
        </is>
      </c>
      <c r="I139" s="10" t="inlineStr">
        <is>
          <t>Static</t>
        </is>
      </c>
      <c r="J139" s="10" t="inlineStr">
        <is>
          <t>LinkedIn</t>
        </is>
      </c>
      <c r="K139" s="10" t="inlineStr">
        <is>
          <t>Primary</t>
        </is>
      </c>
      <c r="L139" s="10" t="inlineStr">
        <is>
          <t>‘Will marketing get flagged as targeting nicotine use?’</t>
        </is>
      </c>
      <c r="M139" s="10" t="inlineStr">
        <is>
          <t>Book a demo</t>
        </is>
      </c>
      <c r="N139" s="10" t="inlineStr">
        <is>
          <t>Yes</t>
        </is>
      </c>
      <c r="O139" s="10" t="inlineStr">
        <is>
          <t>No</t>
        </is>
      </c>
      <c r="P139" s="10" t="inlineStr">
        <is>
          <t>Not started</t>
        </is>
      </c>
      <c r="Q139" s="10" t="inlineStr">
        <is>
          <t>Not started</t>
        </is>
      </c>
      <c r="R139" s="10" t="inlineStr"/>
      <c r="S139" s="10" t="inlineStr"/>
      <c r="T139" s="10" t="inlineStr"/>
      <c r="U139" s="10" t="n"/>
      <c r="V139" s="10">
        <f>IF(U139="","",IF(U139&gt;=70,"Pass","Hold"))</f>
        <v/>
      </c>
      <c r="W139" s="11" t="n">
        <v>46282</v>
      </c>
      <c r="X139" s="10" t="inlineStr">
        <is>
          <t>10:00 AM</t>
        </is>
      </c>
      <c r="Y139" s="10" t="inlineStr">
        <is>
          <t>Scheduled</t>
        </is>
      </c>
      <c r="Z139" s="11" t="n"/>
      <c r="AA139" s="10" t="inlineStr"/>
      <c r="AB139" s="10" t="inlineStr"/>
      <c r="AC139" s="10" t="n"/>
      <c r="AD139" s="10" t="n"/>
      <c r="AE139" s="10" t="n"/>
      <c r="AF139" s="10" t="n"/>
      <c r="AG139" s="10" t="n"/>
      <c r="AH139" s="10" t="n"/>
      <c r="AI139" s="10" t="n"/>
      <c r="AJ139" s="10" t="n"/>
      <c r="AK139" s="10" t="n"/>
      <c r="AL139" s="10" t="n"/>
      <c r="AM139" s="10" t="inlineStr">
        <is>
          <t>No</t>
        </is>
      </c>
      <c r="AN139" s="10" t="n"/>
      <c r="AO139" s="10" t="n"/>
      <c r="AP139" s="10">
        <f>IF(AND(AC139&lt;&gt;"",AO139&lt;&gt;"",AO139&gt;0),AC139/AO139,"")</f>
        <v/>
      </c>
      <c r="AQ139" s="10">
        <f>IF(AP139="","",IF(AP139&gt;=2,"A",IF(AP139&gt;=1.2,"B",IF(AP139&gt;=0.6,"C","D"))))</f>
        <v/>
      </c>
      <c r="AR139" s="10" t="inlineStr"/>
      <c r="AS139" s="11" t="inlineStr"/>
      <c r="AT139" s="10" t="inlineStr"/>
    </row>
    <row r="140">
      <c r="A140" s="10" t="inlineStr">
        <is>
          <t>W07-U4-FA</t>
        </is>
      </c>
      <c r="B140" s="10" t="inlineStr">
        <is>
          <t>W07-U4</t>
        </is>
      </c>
      <c r="C140" s="10" t="n">
        <v>7</v>
      </c>
      <c r="D140" s="11" t="n">
        <v>46282</v>
      </c>
      <c r="E140" s="10" t="inlineStr">
        <is>
          <t>Thursday</t>
        </is>
      </c>
      <c r="F140" s="10" t="inlineStr">
        <is>
          <t>Ray</t>
        </is>
      </c>
      <c r="G140" s="10" t="inlineStr">
        <is>
          <t>Your regulars, remembered automatically.</t>
        </is>
      </c>
      <c r="H140" s="10" t="inlineStr">
        <is>
          <t>Engage</t>
        </is>
      </c>
      <c r="I140" s="10" t="inlineStr">
        <is>
          <t>Static</t>
        </is>
      </c>
      <c r="J140" s="10" t="inlineStr">
        <is>
          <t>Facebook</t>
        </is>
      </c>
      <c r="K140" s="10" t="inlineStr">
        <is>
          <t>Mirror</t>
        </is>
      </c>
      <c r="L140" s="10" t="inlineStr">
        <is>
          <t>‘Will marketing get flagged as targeting nicotine use?’</t>
        </is>
      </c>
      <c r="M140" s="10" t="inlineStr">
        <is>
          <t>Book a demo</t>
        </is>
      </c>
      <c r="N140" s="10" t="inlineStr">
        <is>
          <t>Yes</t>
        </is>
      </c>
      <c r="O140" s="10" t="inlineStr">
        <is>
          <t>No</t>
        </is>
      </c>
      <c r="P140" s="10" t="inlineStr">
        <is>
          <t>Not started</t>
        </is>
      </c>
      <c r="Q140" s="10" t="inlineStr">
        <is>
          <t>Not started</t>
        </is>
      </c>
      <c r="R140" s="10" t="inlineStr"/>
      <c r="S140" s="10" t="inlineStr"/>
      <c r="T140" s="10" t="inlineStr"/>
      <c r="U140" s="10" t="n"/>
      <c r="V140" s="10">
        <f>IF(U140="","",IF(U140&gt;=70,"Pass","Hold"))</f>
        <v/>
      </c>
      <c r="W140" s="11" t="n">
        <v>46282</v>
      </c>
      <c r="X140" s="10" t="inlineStr">
        <is>
          <t>10:00 AM</t>
        </is>
      </c>
      <c r="Y140" s="10" t="inlineStr">
        <is>
          <t>Scheduled</t>
        </is>
      </c>
      <c r="Z140" s="11" t="n"/>
      <c r="AA140" s="10" t="inlineStr"/>
      <c r="AB140" s="10" t="inlineStr"/>
      <c r="AC140" s="10" t="n"/>
      <c r="AD140" s="10" t="n"/>
      <c r="AE140" s="10" t="n"/>
      <c r="AF140" s="10" t="n"/>
      <c r="AG140" s="10" t="n"/>
      <c r="AH140" s="10" t="n"/>
      <c r="AI140" s="10" t="n"/>
      <c r="AJ140" s="10" t="n"/>
      <c r="AK140" s="10" t="n"/>
      <c r="AL140" s="10" t="n"/>
      <c r="AM140" s="10" t="inlineStr">
        <is>
          <t>No</t>
        </is>
      </c>
      <c r="AN140" s="10" t="n"/>
      <c r="AO140" s="10" t="n"/>
      <c r="AP140" s="10">
        <f>IF(AND(AC140&lt;&gt;"",AO140&lt;&gt;"",AO140&gt;0),AC140/AO140,"")</f>
        <v/>
      </c>
      <c r="AQ140" s="10">
        <f>IF(AP140="","",IF(AP140&gt;=2,"A",IF(AP140&gt;=1.2,"B",IF(AP140&gt;=0.6,"C","D"))))</f>
        <v/>
      </c>
      <c r="AR140" s="10" t="inlineStr"/>
      <c r="AS140" s="11" t="inlineStr"/>
      <c r="AT140" s="10" t="inlineStr"/>
    </row>
    <row r="141">
      <c r="A141" s="10" t="inlineStr">
        <is>
          <t>W07-U4-IN</t>
        </is>
      </c>
      <c r="B141" s="10" t="inlineStr">
        <is>
          <t>W07-U4</t>
        </is>
      </c>
      <c r="C141" s="10" t="n">
        <v>7</v>
      </c>
      <c r="D141" s="11" t="n">
        <v>46282</v>
      </c>
      <c r="E141" s="10" t="inlineStr">
        <is>
          <t>Thursday</t>
        </is>
      </c>
      <c r="F141" s="10" t="inlineStr">
        <is>
          <t>Ray</t>
        </is>
      </c>
      <c r="G141" s="10" t="inlineStr">
        <is>
          <t>Your regulars, remembered automatically.</t>
        </is>
      </c>
      <c r="H141" s="10" t="inlineStr">
        <is>
          <t>Engage</t>
        </is>
      </c>
      <c r="I141" s="10" t="inlineStr">
        <is>
          <t>Static</t>
        </is>
      </c>
      <c r="J141" s="10" t="inlineStr">
        <is>
          <t>Instagram</t>
        </is>
      </c>
      <c r="K141" s="10" t="inlineStr">
        <is>
          <t>Adapted</t>
        </is>
      </c>
      <c r="L141" s="10" t="inlineStr">
        <is>
          <t>‘Will marketing get flagged as targeting nicotine use?’</t>
        </is>
      </c>
      <c r="M141" s="10" t="inlineStr">
        <is>
          <t>Book a demo</t>
        </is>
      </c>
      <c r="N141" s="10" t="inlineStr">
        <is>
          <t>Yes</t>
        </is>
      </c>
      <c r="O141" s="10" t="inlineStr">
        <is>
          <t>No</t>
        </is>
      </c>
      <c r="P141" s="10" t="inlineStr">
        <is>
          <t>Not started</t>
        </is>
      </c>
      <c r="Q141" s="10" t="inlineStr">
        <is>
          <t>Not started</t>
        </is>
      </c>
      <c r="R141" s="10" t="inlineStr"/>
      <c r="S141" s="10" t="inlineStr"/>
      <c r="T141" s="10" t="inlineStr"/>
      <c r="U141" s="10" t="n"/>
      <c r="V141" s="10">
        <f>IF(U141="","",IF(U141&gt;=70,"Pass","Hold"))</f>
        <v/>
      </c>
      <c r="W141" s="11" t="n">
        <v>46282</v>
      </c>
      <c r="X141" s="10" t="inlineStr">
        <is>
          <t>10:00 AM</t>
        </is>
      </c>
      <c r="Y141" s="10" t="inlineStr">
        <is>
          <t>Scheduled</t>
        </is>
      </c>
      <c r="Z141" s="11" t="n"/>
      <c r="AA141" s="10" t="inlineStr"/>
      <c r="AB141" s="10" t="inlineStr"/>
      <c r="AC141" s="10" t="n"/>
      <c r="AD141" s="10" t="n"/>
      <c r="AE141" s="10" t="n"/>
      <c r="AF141" s="10" t="n"/>
      <c r="AG141" s="10" t="n"/>
      <c r="AH141" s="10" t="n"/>
      <c r="AI141" s="10" t="n"/>
      <c r="AJ141" s="10" t="n"/>
      <c r="AK141" s="10" t="n"/>
      <c r="AL141" s="10" t="n"/>
      <c r="AM141" s="10" t="inlineStr">
        <is>
          <t>No</t>
        </is>
      </c>
      <c r="AN141" s="10" t="n"/>
      <c r="AO141" s="10" t="n"/>
      <c r="AP141" s="10">
        <f>IF(AND(AC141&lt;&gt;"",AO141&lt;&gt;"",AO141&gt;0),AC141/AO141,"")</f>
        <v/>
      </c>
      <c r="AQ141" s="10">
        <f>IF(AP141="","",IF(AP141&gt;=2,"A",IF(AP141&gt;=1.2,"B",IF(AP141&gt;=0.6,"C","D"))))</f>
        <v/>
      </c>
      <c r="AR141" s="10" t="inlineStr"/>
      <c r="AS141" s="11" t="inlineStr"/>
      <c r="AT141" s="10" t="inlineStr"/>
    </row>
    <row r="142">
      <c r="A142" s="10" t="inlineStr">
        <is>
          <t>W07-U5-IN</t>
        </is>
      </c>
      <c r="B142" s="10" t="inlineStr">
        <is>
          <t>W07-U5</t>
        </is>
      </c>
      <c r="C142" s="10" t="n">
        <v>7</v>
      </c>
      <c r="D142" s="11" t="n">
        <v>46283</v>
      </c>
      <c r="E142" s="10" t="inlineStr">
        <is>
          <t>Friday</t>
        </is>
      </c>
      <c r="F142" s="10" t="inlineStr">
        <is>
          <t>Ray</t>
        </is>
      </c>
      <c r="G142" s="10" t="inlineStr">
        <is>
          <t>Your regulars, remembered automatically.</t>
        </is>
      </c>
      <c r="H142" s="10" t="inlineStr">
        <is>
          <t>Engage</t>
        </is>
      </c>
      <c r="I142" s="10" t="inlineStr">
        <is>
          <t>Text</t>
        </is>
      </c>
      <c r="J142" s="10" t="inlineStr">
        <is>
          <t>Instagram</t>
        </is>
      </c>
      <c r="K142" s="10" t="inlineStr">
        <is>
          <t>Primary</t>
        </is>
      </c>
      <c r="L142" s="10" t="inlineStr">
        <is>
          <t>What matters most in a rewards program?</t>
        </is>
      </c>
      <c r="M142" s="10" t="inlineStr">
        <is>
          <t>Engage (vote)</t>
        </is>
      </c>
      <c r="N142" s="10" t="inlineStr">
        <is>
          <t>No</t>
        </is>
      </c>
      <c r="O142" s="10" t="inlineStr">
        <is>
          <t>No</t>
        </is>
      </c>
      <c r="P142" s="10" t="inlineStr">
        <is>
          <t>Not started</t>
        </is>
      </c>
      <c r="Q142" s="10" t="inlineStr">
        <is>
          <t>Not started</t>
        </is>
      </c>
      <c r="R142" s="10" t="inlineStr"/>
      <c r="S142" s="10" t="inlineStr"/>
      <c r="T142" s="10" t="inlineStr"/>
      <c r="U142" s="10" t="n"/>
      <c r="V142" s="10">
        <f>IF(U142="","",IF(U142&gt;=70,"Pass","Hold"))</f>
        <v/>
      </c>
      <c r="W142" s="11" t="n">
        <v>46283</v>
      </c>
      <c r="X142" s="10" t="inlineStr">
        <is>
          <t>10:00 AM</t>
        </is>
      </c>
      <c r="Y142" s="10" t="inlineStr">
        <is>
          <t>Scheduled</t>
        </is>
      </c>
      <c r="Z142" s="11" t="n"/>
      <c r="AA142" s="10" t="inlineStr"/>
      <c r="AB142" s="10" t="inlineStr"/>
      <c r="AC142" s="10" t="n"/>
      <c r="AD142" s="10" t="n"/>
      <c r="AE142" s="10" t="n"/>
      <c r="AF142" s="10" t="n"/>
      <c r="AG142" s="10" t="n"/>
      <c r="AH142" s="10" t="n"/>
      <c r="AI142" s="10" t="n"/>
      <c r="AJ142" s="10" t="n"/>
      <c r="AK142" s="10" t="n"/>
      <c r="AL142" s="10" t="n"/>
      <c r="AM142" s="10" t="inlineStr">
        <is>
          <t>No</t>
        </is>
      </c>
      <c r="AN142" s="10" t="n"/>
      <c r="AO142" s="10" t="n"/>
      <c r="AP142" s="10">
        <f>IF(AND(AC142&lt;&gt;"",AO142&lt;&gt;"",AO142&gt;0),AC142/AO142,"")</f>
        <v/>
      </c>
      <c r="AQ142" s="10">
        <f>IF(AP142="","",IF(AP142&gt;=2,"A",IF(AP142&gt;=1.2,"B",IF(AP142&gt;=0.6,"C","D"))))</f>
        <v/>
      </c>
      <c r="AR142" s="10" t="inlineStr"/>
      <c r="AS142" s="11" t="inlineStr"/>
      <c r="AT142" s="10" t="inlineStr"/>
    </row>
    <row r="143">
      <c r="A143" s="10" t="inlineStr">
        <is>
          <t>W07-U5-LI</t>
        </is>
      </c>
      <c r="B143" s="10" t="inlineStr">
        <is>
          <t>W07-U5</t>
        </is>
      </c>
      <c r="C143" s="10" t="n">
        <v>7</v>
      </c>
      <c r="D143" s="11" t="n">
        <v>46283</v>
      </c>
      <c r="E143" s="10" t="inlineStr">
        <is>
          <t>Friday</t>
        </is>
      </c>
      <c r="F143" s="10" t="inlineStr">
        <is>
          <t>Ray</t>
        </is>
      </c>
      <c r="G143" s="10" t="inlineStr">
        <is>
          <t>Your regulars, remembered automatically.</t>
        </is>
      </c>
      <c r="H143" s="10" t="inlineStr">
        <is>
          <t>Engage</t>
        </is>
      </c>
      <c r="I143" s="10" t="inlineStr">
        <is>
          <t>Text</t>
        </is>
      </c>
      <c r="J143" s="10" t="inlineStr">
        <is>
          <t>LinkedIn</t>
        </is>
      </c>
      <c r="K143" s="10" t="inlineStr">
        <is>
          <t>Adapted</t>
        </is>
      </c>
      <c r="L143" s="10" t="inlineStr">
        <is>
          <t>What matters most in a rewards program?</t>
        </is>
      </c>
      <c r="M143" s="10" t="inlineStr">
        <is>
          <t>Engage (vote)</t>
        </is>
      </c>
      <c r="N143" s="10" t="inlineStr">
        <is>
          <t>No</t>
        </is>
      </c>
      <c r="O143" s="10" t="inlineStr">
        <is>
          <t>No</t>
        </is>
      </c>
      <c r="P143" s="10" t="inlineStr">
        <is>
          <t>Not started</t>
        </is>
      </c>
      <c r="Q143" s="10" t="inlineStr">
        <is>
          <t>Not started</t>
        </is>
      </c>
      <c r="R143" s="10" t="inlineStr"/>
      <c r="S143" s="10" t="inlineStr"/>
      <c r="T143" s="10" t="inlineStr"/>
      <c r="U143" s="10" t="n"/>
      <c r="V143" s="10">
        <f>IF(U143="","",IF(U143&gt;=70,"Pass","Hold"))</f>
        <v/>
      </c>
      <c r="W143" s="11" t="n">
        <v>46283</v>
      </c>
      <c r="X143" s="10" t="inlineStr">
        <is>
          <t>10:00 AM</t>
        </is>
      </c>
      <c r="Y143" s="10" t="inlineStr">
        <is>
          <t>Scheduled</t>
        </is>
      </c>
      <c r="Z143" s="11" t="n"/>
      <c r="AA143" s="10" t="inlineStr"/>
      <c r="AB143" s="10" t="inlineStr"/>
      <c r="AC143" s="10" t="n"/>
      <c r="AD143" s="10" t="n"/>
      <c r="AE143" s="10" t="n"/>
      <c r="AF143" s="10" t="n"/>
      <c r="AG143" s="10" t="n"/>
      <c r="AH143" s="10" t="n"/>
      <c r="AI143" s="10" t="n"/>
      <c r="AJ143" s="10" t="n"/>
      <c r="AK143" s="10" t="n"/>
      <c r="AL143" s="10" t="n"/>
      <c r="AM143" s="10" t="inlineStr">
        <is>
          <t>No</t>
        </is>
      </c>
      <c r="AN143" s="10" t="n"/>
      <c r="AO143" s="10" t="n"/>
      <c r="AP143" s="10">
        <f>IF(AND(AC143&lt;&gt;"",AO143&lt;&gt;"",AO143&gt;0),AC143/AO143,"")</f>
        <v/>
      </c>
      <c r="AQ143" s="10">
        <f>IF(AP143="","",IF(AP143&gt;=2,"A",IF(AP143&gt;=1.2,"B",IF(AP143&gt;=0.6,"C","D"))))</f>
        <v/>
      </c>
      <c r="AR143" s="10" t="inlineStr"/>
      <c r="AS143" s="11" t="inlineStr"/>
      <c r="AT143" s="10" t="inlineStr"/>
    </row>
    <row r="144">
      <c r="A144" s="10" t="inlineStr">
        <is>
          <t>W07-U6-IN</t>
        </is>
      </c>
      <c r="B144" s="10" t="inlineStr">
        <is>
          <t>W07-U6</t>
        </is>
      </c>
      <c r="C144" s="10" t="n">
        <v>7</v>
      </c>
      <c r="D144" s="11" t="n">
        <v>46284</v>
      </c>
      <c r="E144" s="10" t="inlineStr">
        <is>
          <t>Saturday</t>
        </is>
      </c>
      <c r="F144" s="10" t="inlineStr">
        <is>
          <t>Ray</t>
        </is>
      </c>
      <c r="G144" s="10" t="inlineStr">
        <is>
          <t>Built for what needs an ID check.</t>
        </is>
      </c>
      <c r="H144" s="10" t="inlineStr">
        <is>
          <t>Inspire</t>
        </is>
      </c>
      <c r="I144" s="10" t="inlineStr">
        <is>
          <t>Static</t>
        </is>
      </c>
      <c r="J144" s="10" t="inlineStr">
        <is>
          <t>Instagram</t>
        </is>
      </c>
      <c r="K144" s="10" t="inlineStr">
        <is>
          <t>Primary</t>
        </is>
      </c>
      <c r="L144" s="10" t="inlineStr">
        <is>
          <t>Built for the most scrutinized category in retail</t>
        </is>
      </c>
      <c r="M144" s="10" t="inlineStr">
        <is>
          <t>Book a demo</t>
        </is>
      </c>
      <c r="N144" s="10" t="inlineStr">
        <is>
          <t>No</t>
        </is>
      </c>
      <c r="O144" s="10" t="inlineStr">
        <is>
          <t>No</t>
        </is>
      </c>
      <c r="P144" s="10" t="inlineStr">
        <is>
          <t>Not started</t>
        </is>
      </c>
      <c r="Q144" s="10" t="inlineStr">
        <is>
          <t>Not started</t>
        </is>
      </c>
      <c r="R144" s="10" t="inlineStr"/>
      <c r="S144" s="10" t="inlineStr"/>
      <c r="T144" s="10" t="inlineStr"/>
      <c r="U144" s="10" t="n"/>
      <c r="V144" s="10">
        <f>IF(U144="","",IF(U144&gt;=70,"Pass","Hold"))</f>
        <v/>
      </c>
      <c r="W144" s="11" t="n">
        <v>46284</v>
      </c>
      <c r="X144" s="10" t="inlineStr">
        <is>
          <t>10:00 AM</t>
        </is>
      </c>
      <c r="Y144" s="10" t="inlineStr">
        <is>
          <t>Scheduled</t>
        </is>
      </c>
      <c r="Z144" s="11" t="n"/>
      <c r="AA144" s="10" t="inlineStr"/>
      <c r="AB144" s="10" t="inlineStr"/>
      <c r="AC144" s="10" t="n"/>
      <c r="AD144" s="10" t="n"/>
      <c r="AE144" s="10" t="n"/>
      <c r="AF144" s="10" t="n"/>
      <c r="AG144" s="10" t="n"/>
      <c r="AH144" s="10" t="n"/>
      <c r="AI144" s="10" t="n"/>
      <c r="AJ144" s="10" t="n"/>
      <c r="AK144" s="10" t="n"/>
      <c r="AL144" s="10" t="n"/>
      <c r="AM144" s="10" t="inlineStr">
        <is>
          <t>No</t>
        </is>
      </c>
      <c r="AN144" s="10" t="n"/>
      <c r="AO144" s="10" t="n"/>
      <c r="AP144" s="10">
        <f>IF(AND(AC144&lt;&gt;"",AO144&lt;&gt;"",AO144&gt;0),AC144/AO144,"")</f>
        <v/>
      </c>
      <c r="AQ144" s="10">
        <f>IF(AP144="","",IF(AP144&gt;=2,"A",IF(AP144&gt;=1.2,"B",IF(AP144&gt;=0.6,"C","D"))))</f>
        <v/>
      </c>
      <c r="AR144" s="10" t="inlineStr"/>
      <c r="AS144" s="11" t="inlineStr"/>
      <c r="AT144" s="10" t="inlineStr"/>
    </row>
    <row r="145">
      <c r="A145" s="10" t="inlineStr">
        <is>
          <t>W07-U6-FA</t>
        </is>
      </c>
      <c r="B145" s="10" t="inlineStr">
        <is>
          <t>W07-U6</t>
        </is>
      </c>
      <c r="C145" s="10" t="n">
        <v>7</v>
      </c>
      <c r="D145" s="11" t="n">
        <v>46284</v>
      </c>
      <c r="E145" s="10" t="inlineStr">
        <is>
          <t>Saturday</t>
        </is>
      </c>
      <c r="F145" s="10" t="inlineStr">
        <is>
          <t>Ray</t>
        </is>
      </c>
      <c r="G145" s="10" t="inlineStr">
        <is>
          <t>Built for what needs an ID check.</t>
        </is>
      </c>
      <c r="H145" s="10" t="inlineStr">
        <is>
          <t>Inspire</t>
        </is>
      </c>
      <c r="I145" s="10" t="inlineStr">
        <is>
          <t>Static</t>
        </is>
      </c>
      <c r="J145" s="10" t="inlineStr">
        <is>
          <t>Facebook</t>
        </is>
      </c>
      <c r="K145" s="10" t="inlineStr">
        <is>
          <t>Mirror</t>
        </is>
      </c>
      <c r="L145" s="10" t="inlineStr">
        <is>
          <t>Built for the most scrutinized category in retail</t>
        </is>
      </c>
      <c r="M145" s="10" t="inlineStr">
        <is>
          <t>Book a demo</t>
        </is>
      </c>
      <c r="N145" s="10" t="inlineStr">
        <is>
          <t>No</t>
        </is>
      </c>
      <c r="O145" s="10" t="inlineStr">
        <is>
          <t>No</t>
        </is>
      </c>
      <c r="P145" s="10" t="inlineStr">
        <is>
          <t>Not started</t>
        </is>
      </c>
      <c r="Q145" s="10" t="inlineStr">
        <is>
          <t>Not started</t>
        </is>
      </c>
      <c r="R145" s="10" t="inlineStr"/>
      <c r="S145" s="10" t="inlineStr"/>
      <c r="T145" s="10" t="inlineStr"/>
      <c r="U145" s="10" t="n"/>
      <c r="V145" s="10">
        <f>IF(U145="","",IF(U145&gt;=70,"Pass","Hold"))</f>
        <v/>
      </c>
      <c r="W145" s="11" t="n">
        <v>46284</v>
      </c>
      <c r="X145" s="10" t="inlineStr">
        <is>
          <t>10:00 AM</t>
        </is>
      </c>
      <c r="Y145" s="10" t="inlineStr">
        <is>
          <t>Scheduled</t>
        </is>
      </c>
      <c r="Z145" s="11" t="n"/>
      <c r="AA145" s="10" t="inlineStr"/>
      <c r="AB145" s="10" t="inlineStr"/>
      <c r="AC145" s="10" t="n"/>
      <c r="AD145" s="10" t="n"/>
      <c r="AE145" s="10" t="n"/>
      <c r="AF145" s="10" t="n"/>
      <c r="AG145" s="10" t="n"/>
      <c r="AH145" s="10" t="n"/>
      <c r="AI145" s="10" t="n"/>
      <c r="AJ145" s="10" t="n"/>
      <c r="AK145" s="10" t="n"/>
      <c r="AL145" s="10" t="n"/>
      <c r="AM145" s="10" t="inlineStr">
        <is>
          <t>No</t>
        </is>
      </c>
      <c r="AN145" s="10" t="n"/>
      <c r="AO145" s="10" t="n"/>
      <c r="AP145" s="10">
        <f>IF(AND(AC145&lt;&gt;"",AO145&lt;&gt;"",AO145&gt;0),AC145/AO145,"")</f>
        <v/>
      </c>
      <c r="AQ145" s="10">
        <f>IF(AP145="","",IF(AP145&gt;=2,"A",IF(AP145&gt;=1.2,"B",IF(AP145&gt;=0.6,"C","D"))))</f>
        <v/>
      </c>
      <c r="AR145" s="10" t="inlineStr"/>
      <c r="AS145" s="11" t="inlineStr"/>
      <c r="AT145" s="10" t="inlineStr"/>
    </row>
    <row r="146">
      <c r="A146" s="10" t="inlineStr">
        <is>
          <t>W07-U6-X</t>
        </is>
      </c>
      <c r="B146" s="10" t="inlineStr">
        <is>
          <t>W07-U6</t>
        </is>
      </c>
      <c r="C146" s="10" t="n">
        <v>7</v>
      </c>
      <c r="D146" s="11" t="n">
        <v>46284</v>
      </c>
      <c r="E146" s="10" t="inlineStr">
        <is>
          <t>Saturday</t>
        </is>
      </c>
      <c r="F146" s="10" t="inlineStr">
        <is>
          <t>Ray</t>
        </is>
      </c>
      <c r="G146" s="10" t="inlineStr">
        <is>
          <t>Built for what needs an ID check.</t>
        </is>
      </c>
      <c r="H146" s="10" t="inlineStr">
        <is>
          <t>Inspire</t>
        </is>
      </c>
      <c r="I146" s="10" t="inlineStr">
        <is>
          <t>Static</t>
        </is>
      </c>
      <c r="J146" s="10" t="inlineStr">
        <is>
          <t>X</t>
        </is>
      </c>
      <c r="K146" s="10" t="inlineStr">
        <is>
          <t>Mirror</t>
        </is>
      </c>
      <c r="L146" s="10" t="inlineStr">
        <is>
          <t>Built for the most scrutinized category in retail</t>
        </is>
      </c>
      <c r="M146" s="10" t="inlineStr">
        <is>
          <t>Book a demo</t>
        </is>
      </c>
      <c r="N146" s="10" t="inlineStr">
        <is>
          <t>No</t>
        </is>
      </c>
      <c r="O146" s="10" t="inlineStr">
        <is>
          <t>No</t>
        </is>
      </c>
      <c r="P146" s="10" t="inlineStr">
        <is>
          <t>Not started</t>
        </is>
      </c>
      <c r="Q146" s="10" t="inlineStr">
        <is>
          <t>Not started</t>
        </is>
      </c>
      <c r="R146" s="10" t="inlineStr"/>
      <c r="S146" s="10" t="inlineStr"/>
      <c r="T146" s="10" t="inlineStr"/>
      <c r="U146" s="10" t="n"/>
      <c r="V146" s="10">
        <f>IF(U146="","",IF(U146&gt;=70,"Pass","Hold"))</f>
        <v/>
      </c>
      <c r="W146" s="11" t="n">
        <v>46284</v>
      </c>
      <c r="X146" s="10" t="inlineStr">
        <is>
          <t>10:00 AM</t>
        </is>
      </c>
      <c r="Y146" s="10" t="inlineStr">
        <is>
          <t>Scheduled</t>
        </is>
      </c>
      <c r="Z146" s="11" t="n"/>
      <c r="AA146" s="10" t="inlineStr"/>
      <c r="AB146" s="10" t="inlineStr"/>
      <c r="AC146" s="10" t="n"/>
      <c r="AD146" s="10" t="n"/>
      <c r="AE146" s="10" t="n"/>
      <c r="AF146" s="10" t="n"/>
      <c r="AG146" s="10" t="n"/>
      <c r="AH146" s="10" t="n"/>
      <c r="AI146" s="10" t="n"/>
      <c r="AJ146" s="10" t="n"/>
      <c r="AK146" s="10" t="n"/>
      <c r="AL146" s="10" t="n"/>
      <c r="AM146" s="10" t="inlineStr">
        <is>
          <t>No</t>
        </is>
      </c>
      <c r="AN146" s="10" t="n"/>
      <c r="AO146" s="10" t="n"/>
      <c r="AP146" s="10">
        <f>IF(AND(AC146&lt;&gt;"",AO146&lt;&gt;"",AO146&gt;0),AC146/AO146,"")</f>
        <v/>
      </c>
      <c r="AQ146" s="10">
        <f>IF(AP146="","",IF(AP146&gt;=2,"A",IF(AP146&gt;=1.2,"B",IF(AP146&gt;=0.6,"C","D"))))</f>
        <v/>
      </c>
      <c r="AR146" s="10" t="inlineStr"/>
      <c r="AS146" s="11" t="inlineStr"/>
      <c r="AT146" s="10" t="inlineStr"/>
    </row>
    <row r="147">
      <c r="A147" s="10" t="inlineStr">
        <is>
          <t>W08-U1-LI</t>
        </is>
      </c>
      <c r="B147" s="10" t="inlineStr">
        <is>
          <t>W08-U1</t>
        </is>
      </c>
      <c r="C147" s="10" t="n">
        <v>8</v>
      </c>
      <c r="D147" s="11" t="n">
        <v>46286</v>
      </c>
      <c r="E147" s="10" t="inlineStr">
        <is>
          <t>Monday</t>
        </is>
      </c>
      <c r="F147" s="10" t="inlineStr">
        <is>
          <t>Sam</t>
        </is>
      </c>
      <c r="G147" s="10" t="inlineStr">
        <is>
          <t>Built for what needs an ID check.</t>
        </is>
      </c>
      <c r="H147" s="10" t="inlineStr">
        <is>
          <t>Educate</t>
        </is>
      </c>
      <c r="I147" s="10" t="inlineStr">
        <is>
          <t>Text</t>
        </is>
      </c>
      <c r="J147" s="10" t="inlineStr">
        <is>
          <t>LinkedIn</t>
        </is>
      </c>
      <c r="K147" s="10" t="inlineStr">
        <is>
          <t>Primary</t>
        </is>
      </c>
      <c r="L147" s="10" t="inlineStr">
        <is>
          <t>CBD retail compliance and POS: the state-by-state reality</t>
        </is>
      </c>
      <c r="M147" s="10" t="inlineStr">
        <is>
          <t>Read more (link)</t>
        </is>
      </c>
      <c r="N147" s="10" t="inlineStr">
        <is>
          <t>Yes</t>
        </is>
      </c>
      <c r="O147" s="10" t="inlineStr">
        <is>
          <t>No</t>
        </is>
      </c>
      <c r="P147" s="10" t="inlineStr">
        <is>
          <t>Not started</t>
        </is>
      </c>
      <c r="Q147" s="10" t="inlineStr">
        <is>
          <t>Not started</t>
        </is>
      </c>
      <c r="R147" s="10" t="inlineStr"/>
      <c r="S147" s="10" t="inlineStr"/>
      <c r="T147" s="10" t="inlineStr"/>
      <c r="U147" s="10" t="n"/>
      <c r="V147" s="10">
        <f>IF(U147="","",IF(U147&gt;=70,"Pass","Hold"))</f>
        <v/>
      </c>
      <c r="W147" s="11" t="n">
        <v>46286</v>
      </c>
      <c r="X147" s="10" t="inlineStr">
        <is>
          <t>10:00 AM</t>
        </is>
      </c>
      <c r="Y147" s="10" t="inlineStr">
        <is>
          <t>Scheduled</t>
        </is>
      </c>
      <c r="Z147" s="11" t="n"/>
      <c r="AA147" s="10" t="inlineStr"/>
      <c r="AB147" s="10" t="inlineStr"/>
      <c r="AC147" s="10" t="n"/>
      <c r="AD147" s="10" t="n"/>
      <c r="AE147" s="10" t="n"/>
      <c r="AF147" s="10" t="n"/>
      <c r="AG147" s="10" t="n"/>
      <c r="AH147" s="10" t="n"/>
      <c r="AI147" s="10" t="n"/>
      <c r="AJ147" s="10" t="n"/>
      <c r="AK147" s="10" t="n"/>
      <c r="AL147" s="10" t="n"/>
      <c r="AM147" s="10" t="inlineStr">
        <is>
          <t>No</t>
        </is>
      </c>
      <c r="AN147" s="10" t="n"/>
      <c r="AO147" s="10" t="n"/>
      <c r="AP147" s="10">
        <f>IF(AND(AC147&lt;&gt;"",AO147&lt;&gt;"",AO147&gt;0),AC147/AO147,"")</f>
        <v/>
      </c>
      <c r="AQ147" s="10">
        <f>IF(AP147="","",IF(AP147&gt;=2,"A",IF(AP147&gt;=1.2,"B",IF(AP147&gt;=0.6,"C","D"))))</f>
        <v/>
      </c>
      <c r="AR147" s="10" t="inlineStr"/>
      <c r="AS147" s="11" t="inlineStr"/>
      <c r="AT147" s="10" t="inlineStr"/>
    </row>
    <row r="148">
      <c r="A148" s="10" t="inlineStr">
        <is>
          <t>W08-U1-FA</t>
        </is>
      </c>
      <c r="B148" s="10" t="inlineStr">
        <is>
          <t>W08-U1</t>
        </is>
      </c>
      <c r="C148" s="10" t="n">
        <v>8</v>
      </c>
      <c r="D148" s="11" t="n">
        <v>46286</v>
      </c>
      <c r="E148" s="10" t="inlineStr">
        <is>
          <t>Monday</t>
        </is>
      </c>
      <c r="F148" s="10" t="inlineStr">
        <is>
          <t>Sam</t>
        </is>
      </c>
      <c r="G148" s="10" t="inlineStr">
        <is>
          <t>Built for what needs an ID check.</t>
        </is>
      </c>
      <c r="H148" s="10" t="inlineStr">
        <is>
          <t>Educate</t>
        </is>
      </c>
      <c r="I148" s="10" t="inlineStr">
        <is>
          <t>Text</t>
        </is>
      </c>
      <c r="J148" s="10" t="inlineStr">
        <is>
          <t>Facebook</t>
        </is>
      </c>
      <c r="K148" s="10" t="inlineStr">
        <is>
          <t>Primary</t>
        </is>
      </c>
      <c r="L148" s="10" t="inlineStr">
        <is>
          <t>CBD retail compliance and POS: the state-by-state reality</t>
        </is>
      </c>
      <c r="M148" s="10" t="inlineStr">
        <is>
          <t>Read more (link)</t>
        </is>
      </c>
      <c r="N148" s="10" t="inlineStr">
        <is>
          <t>Yes</t>
        </is>
      </c>
      <c r="O148" s="10" t="inlineStr">
        <is>
          <t>No</t>
        </is>
      </c>
      <c r="P148" s="10" t="inlineStr">
        <is>
          <t>Not started</t>
        </is>
      </c>
      <c r="Q148" s="10" t="inlineStr">
        <is>
          <t>Not started</t>
        </is>
      </c>
      <c r="R148" s="10" t="inlineStr"/>
      <c r="S148" s="10" t="inlineStr"/>
      <c r="T148" s="10" t="inlineStr"/>
      <c r="U148" s="10" t="n"/>
      <c r="V148" s="10">
        <f>IF(U148="","",IF(U148&gt;=70,"Pass","Hold"))</f>
        <v/>
      </c>
      <c r="W148" s="11" t="n">
        <v>46286</v>
      </c>
      <c r="X148" s="10" t="inlineStr">
        <is>
          <t>10:00 AM</t>
        </is>
      </c>
      <c r="Y148" s="10" t="inlineStr">
        <is>
          <t>Scheduled</t>
        </is>
      </c>
      <c r="Z148" s="11" t="n"/>
      <c r="AA148" s="10" t="inlineStr"/>
      <c r="AB148" s="10" t="inlineStr"/>
      <c r="AC148" s="10" t="n"/>
      <c r="AD148" s="10" t="n"/>
      <c r="AE148" s="10" t="n"/>
      <c r="AF148" s="10" t="n"/>
      <c r="AG148" s="10" t="n"/>
      <c r="AH148" s="10" t="n"/>
      <c r="AI148" s="10" t="n"/>
      <c r="AJ148" s="10" t="n"/>
      <c r="AK148" s="10" t="n"/>
      <c r="AL148" s="10" t="n"/>
      <c r="AM148" s="10" t="inlineStr">
        <is>
          <t>No</t>
        </is>
      </c>
      <c r="AN148" s="10" t="n"/>
      <c r="AO148" s="10" t="n"/>
      <c r="AP148" s="10">
        <f>IF(AND(AC148&lt;&gt;"",AO148&lt;&gt;"",AO148&gt;0),AC148/AO148,"")</f>
        <v/>
      </c>
      <c r="AQ148" s="10">
        <f>IF(AP148="","",IF(AP148&gt;=2,"A",IF(AP148&gt;=1.2,"B",IF(AP148&gt;=0.6,"C","D"))))</f>
        <v/>
      </c>
      <c r="AR148" s="10" t="inlineStr"/>
      <c r="AS148" s="11" t="inlineStr"/>
      <c r="AT148" s="10" t="inlineStr"/>
    </row>
    <row r="149">
      <c r="A149" s="10" t="inlineStr">
        <is>
          <t>W08-U1-BL</t>
        </is>
      </c>
      <c r="B149" s="10" t="inlineStr">
        <is>
          <t>W08-U1</t>
        </is>
      </c>
      <c r="C149" s="10" t="n">
        <v>8</v>
      </c>
      <c r="D149" s="11" t="n">
        <v>46286</v>
      </c>
      <c r="E149" s="10" t="inlineStr">
        <is>
          <t>Monday</t>
        </is>
      </c>
      <c r="F149" s="10" t="inlineStr">
        <is>
          <t>Sam</t>
        </is>
      </c>
      <c r="G149" s="10" t="inlineStr">
        <is>
          <t>Built for what needs an ID check.</t>
        </is>
      </c>
      <c r="H149" s="10" t="inlineStr">
        <is>
          <t>Educate</t>
        </is>
      </c>
      <c r="I149" s="10" t="inlineStr">
        <is>
          <t>Text</t>
        </is>
      </c>
      <c r="J149" s="10" t="inlineStr">
        <is>
          <t>Blog/SEO</t>
        </is>
      </c>
      <c r="K149" s="10" t="inlineStr">
        <is>
          <t>Primary</t>
        </is>
      </c>
      <c r="L149" s="10" t="inlineStr">
        <is>
          <t>CBD retail compliance and POS: the state-by-state reality</t>
        </is>
      </c>
      <c r="M149" s="10" t="inlineStr">
        <is>
          <t>Read more (link)</t>
        </is>
      </c>
      <c r="N149" s="10" t="inlineStr">
        <is>
          <t>Yes</t>
        </is>
      </c>
      <c r="O149" s="10" t="inlineStr">
        <is>
          <t>No</t>
        </is>
      </c>
      <c r="P149" s="10" t="inlineStr">
        <is>
          <t>Not started</t>
        </is>
      </c>
      <c r="Q149" s="10" t="inlineStr">
        <is>
          <t>Not started</t>
        </is>
      </c>
      <c r="R149" s="10" t="inlineStr"/>
      <c r="S149" s="10" t="inlineStr"/>
      <c r="T149" s="10" t="inlineStr"/>
      <c r="U149" s="10" t="n"/>
      <c r="V149" s="10">
        <f>IF(U149="","",IF(U149&gt;=70,"Pass","Hold"))</f>
        <v/>
      </c>
      <c r="W149" s="11" t="n">
        <v>46286</v>
      </c>
      <c r="X149" s="10" t="inlineStr">
        <is>
          <t>10:00 AM</t>
        </is>
      </c>
      <c r="Y149" s="10" t="inlineStr">
        <is>
          <t>Scheduled</t>
        </is>
      </c>
      <c r="Z149" s="11" t="n"/>
      <c r="AA149" s="10" t="inlineStr"/>
      <c r="AB149" s="10" t="inlineStr"/>
      <c r="AC149" s="10" t="n"/>
      <c r="AD149" s="10" t="n"/>
      <c r="AE149" s="10" t="n"/>
      <c r="AF149" s="10" t="n"/>
      <c r="AG149" s="10" t="n"/>
      <c r="AH149" s="10" t="n"/>
      <c r="AI149" s="10" t="n"/>
      <c r="AJ149" s="10" t="n"/>
      <c r="AK149" s="10" t="n"/>
      <c r="AL149" s="10" t="n"/>
      <c r="AM149" s="10" t="inlineStr">
        <is>
          <t>No</t>
        </is>
      </c>
      <c r="AN149" s="10" t="n"/>
      <c r="AO149" s="10" t="n"/>
      <c r="AP149" s="10">
        <f>IF(AND(AC149&lt;&gt;"",AO149&lt;&gt;"",AO149&gt;0),AC149/AO149,"")</f>
        <v/>
      </c>
      <c r="AQ149" s="10">
        <f>IF(AP149="","",IF(AP149&gt;=2,"A",IF(AP149&gt;=1.2,"B",IF(AP149&gt;=0.6,"C","D"))))</f>
        <v/>
      </c>
      <c r="AR149" s="10" t="inlineStr"/>
      <c r="AS149" s="11" t="inlineStr"/>
      <c r="AT149" s="10" t="inlineStr"/>
    </row>
    <row r="150">
      <c r="A150" s="10" t="inlineStr">
        <is>
          <t>W08-U1-X</t>
        </is>
      </c>
      <c r="B150" s="10" t="inlineStr">
        <is>
          <t>W08-U1</t>
        </is>
      </c>
      <c r="C150" s="10" t="n">
        <v>8</v>
      </c>
      <c r="D150" s="11" t="n">
        <v>46286</v>
      </c>
      <c r="E150" s="10" t="inlineStr">
        <is>
          <t>Monday</t>
        </is>
      </c>
      <c r="F150" s="10" t="inlineStr">
        <is>
          <t>Sam</t>
        </is>
      </c>
      <c r="G150" s="10" t="inlineStr">
        <is>
          <t>Built for what needs an ID check.</t>
        </is>
      </c>
      <c r="H150" s="10" t="inlineStr">
        <is>
          <t>Educate</t>
        </is>
      </c>
      <c r="I150" s="10" t="inlineStr">
        <is>
          <t>Text</t>
        </is>
      </c>
      <c r="J150" s="10" t="inlineStr">
        <is>
          <t>X</t>
        </is>
      </c>
      <c r="K150" s="10" t="inlineStr">
        <is>
          <t>Mirror</t>
        </is>
      </c>
      <c r="L150" s="10" t="inlineStr">
        <is>
          <t>CBD retail compliance and POS: the state-by-state reality</t>
        </is>
      </c>
      <c r="M150" s="10" t="inlineStr">
        <is>
          <t>Read more (link)</t>
        </is>
      </c>
      <c r="N150" s="10" t="inlineStr">
        <is>
          <t>Yes</t>
        </is>
      </c>
      <c r="O150" s="10" t="inlineStr">
        <is>
          <t>No</t>
        </is>
      </c>
      <c r="P150" s="10" t="inlineStr">
        <is>
          <t>Not started</t>
        </is>
      </c>
      <c r="Q150" s="10" t="inlineStr">
        <is>
          <t>Not started</t>
        </is>
      </c>
      <c r="R150" s="10" t="inlineStr"/>
      <c r="S150" s="10" t="inlineStr"/>
      <c r="T150" s="10" t="inlineStr"/>
      <c r="U150" s="10" t="n"/>
      <c r="V150" s="10">
        <f>IF(U150="","",IF(U150&gt;=70,"Pass","Hold"))</f>
        <v/>
      </c>
      <c r="W150" s="11" t="n">
        <v>46286</v>
      </c>
      <c r="X150" s="10" t="inlineStr">
        <is>
          <t>10:00 AM</t>
        </is>
      </c>
      <c r="Y150" s="10" t="inlineStr">
        <is>
          <t>Scheduled</t>
        </is>
      </c>
      <c r="Z150" s="11" t="n"/>
      <c r="AA150" s="10" t="inlineStr"/>
      <c r="AB150" s="10" t="inlineStr"/>
      <c r="AC150" s="10" t="n"/>
      <c r="AD150" s="10" t="n"/>
      <c r="AE150" s="10" t="n"/>
      <c r="AF150" s="10" t="n"/>
      <c r="AG150" s="10" t="n"/>
      <c r="AH150" s="10" t="n"/>
      <c r="AI150" s="10" t="n"/>
      <c r="AJ150" s="10" t="n"/>
      <c r="AK150" s="10" t="n"/>
      <c r="AL150" s="10" t="n"/>
      <c r="AM150" s="10" t="inlineStr">
        <is>
          <t>No</t>
        </is>
      </c>
      <c r="AN150" s="10" t="n"/>
      <c r="AO150" s="10" t="n"/>
      <c r="AP150" s="10">
        <f>IF(AND(AC150&lt;&gt;"",AO150&lt;&gt;"",AO150&gt;0),AC150/AO150,"")</f>
        <v/>
      </c>
      <c r="AQ150" s="10">
        <f>IF(AP150="","",IF(AP150&gt;=2,"A",IF(AP150&gt;=1.2,"B",IF(AP150&gt;=0.6,"C","D"))))</f>
        <v/>
      </c>
      <c r="AR150" s="10" t="inlineStr"/>
      <c r="AS150" s="11" t="inlineStr"/>
      <c r="AT150" s="10" t="inlineStr"/>
    </row>
    <row r="151">
      <c r="A151" s="10" t="inlineStr">
        <is>
          <t>W08-U2-IN</t>
        </is>
      </c>
      <c r="B151" s="10" t="inlineStr">
        <is>
          <t>W08-U2</t>
        </is>
      </c>
      <c r="C151" s="10" t="n">
        <v>8</v>
      </c>
      <c r="D151" s="11" t="n">
        <v>46287</v>
      </c>
      <c r="E151" s="10" t="inlineStr">
        <is>
          <t>Tuesday</t>
        </is>
      </c>
      <c r="F151" s="10" t="inlineStr">
        <is>
          <t>Sam</t>
        </is>
      </c>
      <c r="G151" s="10" t="inlineStr">
        <is>
          <t>Built for what needs an ID check.</t>
        </is>
      </c>
      <c r="H151" s="10" t="inlineStr">
        <is>
          <t>Educate</t>
        </is>
      </c>
      <c r="I151" s="10" t="inlineStr">
        <is>
          <t>Carousel</t>
        </is>
      </c>
      <c r="J151" s="10" t="inlineStr">
        <is>
          <t>Instagram</t>
        </is>
      </c>
      <c r="K151" s="10" t="inlineStr">
        <is>
          <t>Primary</t>
        </is>
      </c>
      <c r="L151" s="10" t="inlineStr">
        <is>
          <t>Flexible setup, honest compliance</t>
        </is>
      </c>
      <c r="M151" s="10" t="inlineStr">
        <is>
          <t>Book a demo</t>
        </is>
      </c>
      <c r="N151" s="10" t="inlineStr">
        <is>
          <t>Yes</t>
        </is>
      </c>
      <c r="O151" s="10" t="inlineStr">
        <is>
          <t>No</t>
        </is>
      </c>
      <c r="P151" s="10" t="inlineStr">
        <is>
          <t>Not started</t>
        </is>
      </c>
      <c r="Q151" s="10" t="inlineStr">
        <is>
          <t>Not started</t>
        </is>
      </c>
      <c r="R151" s="10" t="inlineStr"/>
      <c r="S151" s="10" t="inlineStr"/>
      <c r="T151" s="10" t="inlineStr"/>
      <c r="U151" s="10" t="n"/>
      <c r="V151" s="10">
        <f>IF(U151="","",IF(U151&gt;=70,"Pass","Hold"))</f>
        <v/>
      </c>
      <c r="W151" s="11" t="n">
        <v>46287</v>
      </c>
      <c r="X151" s="10" t="inlineStr">
        <is>
          <t>10:00 AM</t>
        </is>
      </c>
      <c r="Y151" s="10" t="inlineStr">
        <is>
          <t>Scheduled</t>
        </is>
      </c>
      <c r="Z151" s="11" t="n"/>
      <c r="AA151" s="10" t="inlineStr"/>
      <c r="AB151" s="10" t="inlineStr"/>
      <c r="AC151" s="10" t="n"/>
      <c r="AD151" s="10" t="n"/>
      <c r="AE151" s="10" t="n"/>
      <c r="AF151" s="10" t="n"/>
      <c r="AG151" s="10" t="n"/>
      <c r="AH151" s="10" t="n"/>
      <c r="AI151" s="10" t="n"/>
      <c r="AJ151" s="10" t="n"/>
      <c r="AK151" s="10" t="n"/>
      <c r="AL151" s="10" t="n"/>
      <c r="AM151" s="10" t="inlineStr">
        <is>
          <t>No</t>
        </is>
      </c>
      <c r="AN151" s="10" t="n"/>
      <c r="AO151" s="10" t="n"/>
      <c r="AP151" s="10">
        <f>IF(AND(AC151&lt;&gt;"",AO151&lt;&gt;"",AO151&gt;0),AC151/AO151,"")</f>
        <v/>
      </c>
      <c r="AQ151" s="10">
        <f>IF(AP151="","",IF(AP151&gt;=2,"A",IF(AP151&gt;=1.2,"B",IF(AP151&gt;=0.6,"C","D"))))</f>
        <v/>
      </c>
      <c r="AR151" s="10" t="inlineStr"/>
      <c r="AS151" s="11" t="inlineStr"/>
      <c r="AT151" s="10" t="inlineStr"/>
    </row>
    <row r="152">
      <c r="A152" s="10" t="inlineStr">
        <is>
          <t>W08-U2-FA</t>
        </is>
      </c>
      <c r="B152" s="10" t="inlineStr">
        <is>
          <t>W08-U2</t>
        </is>
      </c>
      <c r="C152" s="10" t="n">
        <v>8</v>
      </c>
      <c r="D152" s="11" t="n">
        <v>46287</v>
      </c>
      <c r="E152" s="10" t="inlineStr">
        <is>
          <t>Tuesday</t>
        </is>
      </c>
      <c r="F152" s="10" t="inlineStr">
        <is>
          <t>Sam</t>
        </is>
      </c>
      <c r="G152" s="10" t="inlineStr">
        <is>
          <t>Built for what needs an ID check.</t>
        </is>
      </c>
      <c r="H152" s="10" t="inlineStr">
        <is>
          <t>Educate</t>
        </is>
      </c>
      <c r="I152" s="10" t="inlineStr">
        <is>
          <t>Carousel</t>
        </is>
      </c>
      <c r="J152" s="10" t="inlineStr">
        <is>
          <t>Facebook</t>
        </is>
      </c>
      <c r="K152" s="10" t="inlineStr">
        <is>
          <t>Mirror</t>
        </is>
      </c>
      <c r="L152" s="10" t="inlineStr">
        <is>
          <t>Flexible setup, honest compliance</t>
        </is>
      </c>
      <c r="M152" s="10" t="inlineStr">
        <is>
          <t>Book a demo</t>
        </is>
      </c>
      <c r="N152" s="10" t="inlineStr">
        <is>
          <t>Yes</t>
        </is>
      </c>
      <c r="O152" s="10" t="inlineStr">
        <is>
          <t>No</t>
        </is>
      </c>
      <c r="P152" s="10" t="inlineStr">
        <is>
          <t>Not started</t>
        </is>
      </c>
      <c r="Q152" s="10" t="inlineStr">
        <is>
          <t>Not started</t>
        </is>
      </c>
      <c r="R152" s="10" t="inlineStr"/>
      <c r="S152" s="10" t="inlineStr"/>
      <c r="T152" s="10" t="inlineStr"/>
      <c r="U152" s="10" t="n"/>
      <c r="V152" s="10">
        <f>IF(U152="","",IF(U152&gt;=70,"Pass","Hold"))</f>
        <v/>
      </c>
      <c r="W152" s="11" t="n">
        <v>46287</v>
      </c>
      <c r="X152" s="10" t="inlineStr">
        <is>
          <t>10:00 AM</t>
        </is>
      </c>
      <c r="Y152" s="10" t="inlineStr">
        <is>
          <t>Scheduled</t>
        </is>
      </c>
      <c r="Z152" s="11" t="n"/>
      <c r="AA152" s="10" t="inlineStr"/>
      <c r="AB152" s="10" t="inlineStr"/>
      <c r="AC152" s="10" t="n"/>
      <c r="AD152" s="10" t="n"/>
      <c r="AE152" s="10" t="n"/>
      <c r="AF152" s="10" t="n"/>
      <c r="AG152" s="10" t="n"/>
      <c r="AH152" s="10" t="n"/>
      <c r="AI152" s="10" t="n"/>
      <c r="AJ152" s="10" t="n"/>
      <c r="AK152" s="10" t="n"/>
      <c r="AL152" s="10" t="n"/>
      <c r="AM152" s="10" t="inlineStr">
        <is>
          <t>No</t>
        </is>
      </c>
      <c r="AN152" s="10" t="n"/>
      <c r="AO152" s="10" t="n"/>
      <c r="AP152" s="10">
        <f>IF(AND(AC152&lt;&gt;"",AO152&lt;&gt;"",AO152&gt;0),AC152/AO152,"")</f>
        <v/>
      </c>
      <c r="AQ152" s="10">
        <f>IF(AP152="","",IF(AP152&gt;=2,"A",IF(AP152&gt;=1.2,"B",IF(AP152&gt;=0.6,"C","D"))))</f>
        <v/>
      </c>
      <c r="AR152" s="10" t="inlineStr"/>
      <c r="AS152" s="11" t="inlineStr"/>
      <c r="AT152" s="10" t="inlineStr"/>
    </row>
    <row r="153">
      <c r="A153" s="10" t="inlineStr">
        <is>
          <t>W08-U2-LI</t>
        </is>
      </c>
      <c r="B153" s="10" t="inlineStr">
        <is>
          <t>W08-U2</t>
        </is>
      </c>
      <c r="C153" s="10" t="n">
        <v>8</v>
      </c>
      <c r="D153" s="11" t="n">
        <v>46287</v>
      </c>
      <c r="E153" s="10" t="inlineStr">
        <is>
          <t>Tuesday</t>
        </is>
      </c>
      <c r="F153" s="10" t="inlineStr">
        <is>
          <t>Sam</t>
        </is>
      </c>
      <c r="G153" s="10" t="inlineStr">
        <is>
          <t>Built for what needs an ID check.</t>
        </is>
      </c>
      <c r="H153" s="10" t="inlineStr">
        <is>
          <t>Educate</t>
        </is>
      </c>
      <c r="I153" s="10" t="inlineStr">
        <is>
          <t>Carousel</t>
        </is>
      </c>
      <c r="J153" s="10" t="inlineStr">
        <is>
          <t>LinkedIn</t>
        </is>
      </c>
      <c r="K153" s="10" t="inlineStr">
        <is>
          <t>Adapted</t>
        </is>
      </c>
      <c r="L153" s="10" t="inlineStr">
        <is>
          <t>Flexible setup, honest compliance</t>
        </is>
      </c>
      <c r="M153" s="10" t="inlineStr">
        <is>
          <t>Book a demo</t>
        </is>
      </c>
      <c r="N153" s="10" t="inlineStr">
        <is>
          <t>Yes</t>
        </is>
      </c>
      <c r="O153" s="10" t="inlineStr">
        <is>
          <t>No</t>
        </is>
      </c>
      <c r="P153" s="10" t="inlineStr">
        <is>
          <t>Not started</t>
        </is>
      </c>
      <c r="Q153" s="10" t="inlineStr">
        <is>
          <t>Not started</t>
        </is>
      </c>
      <c r="R153" s="10" t="inlineStr"/>
      <c r="S153" s="10" t="inlineStr"/>
      <c r="T153" s="10" t="inlineStr"/>
      <c r="U153" s="10" t="n"/>
      <c r="V153" s="10">
        <f>IF(U153="","",IF(U153&gt;=70,"Pass","Hold"))</f>
        <v/>
      </c>
      <c r="W153" s="11" t="n">
        <v>46287</v>
      </c>
      <c r="X153" s="10" t="inlineStr">
        <is>
          <t>10:00 AM</t>
        </is>
      </c>
      <c r="Y153" s="10" t="inlineStr">
        <is>
          <t>Scheduled</t>
        </is>
      </c>
      <c r="Z153" s="11" t="n"/>
      <c r="AA153" s="10" t="inlineStr"/>
      <c r="AB153" s="10" t="inlineStr"/>
      <c r="AC153" s="10" t="n"/>
      <c r="AD153" s="10" t="n"/>
      <c r="AE153" s="10" t="n"/>
      <c r="AF153" s="10" t="n"/>
      <c r="AG153" s="10" t="n"/>
      <c r="AH153" s="10" t="n"/>
      <c r="AI153" s="10" t="n"/>
      <c r="AJ153" s="10" t="n"/>
      <c r="AK153" s="10" t="n"/>
      <c r="AL153" s="10" t="n"/>
      <c r="AM153" s="10" t="inlineStr">
        <is>
          <t>No</t>
        </is>
      </c>
      <c r="AN153" s="10" t="n"/>
      <c r="AO153" s="10" t="n"/>
      <c r="AP153" s="10">
        <f>IF(AND(AC153&lt;&gt;"",AO153&lt;&gt;"",AO153&gt;0),AC153/AO153,"")</f>
        <v/>
      </c>
      <c r="AQ153" s="10">
        <f>IF(AP153="","",IF(AP153&gt;=2,"A",IF(AP153&gt;=1.2,"B",IF(AP153&gt;=0.6,"C","D"))))</f>
        <v/>
      </c>
      <c r="AR153" s="10" t="inlineStr"/>
      <c r="AS153" s="11" t="inlineStr"/>
      <c r="AT153" s="10" t="inlineStr"/>
    </row>
    <row r="154">
      <c r="A154" s="10" t="inlineStr">
        <is>
          <t>W08-U3-TI</t>
        </is>
      </c>
      <c r="B154" s="10" t="inlineStr">
        <is>
          <t>W08-U3</t>
        </is>
      </c>
      <c r="C154" s="10" t="n">
        <v>8</v>
      </c>
      <c r="D154" s="11" t="n">
        <v>46288</v>
      </c>
      <c r="E154" s="10" t="inlineStr">
        <is>
          <t>Wednesday</t>
        </is>
      </c>
      <c r="F154" s="10" t="inlineStr">
        <is>
          <t>Sam</t>
        </is>
      </c>
      <c r="G154" s="10" t="inlineStr">
        <is>
          <t>Every case, every bottle, every SKU — accounted for.</t>
        </is>
      </c>
      <c r="H154" s="10" t="inlineStr">
        <is>
          <t>Inspire</t>
        </is>
      </c>
      <c r="I154" s="10" t="inlineStr">
        <is>
          <t>Video</t>
        </is>
      </c>
      <c r="J154" s="10" t="inlineStr">
        <is>
          <t>TikTok</t>
        </is>
      </c>
      <c r="K154" s="10" t="inlineStr">
        <is>
          <t>Primary</t>
        </is>
      </c>
      <c r="L154" s="10" t="inlineStr">
        <is>
          <t>A day in a CBD shop</t>
        </is>
      </c>
      <c r="M154" s="10" t="inlineStr">
        <is>
          <t>Book a demo</t>
        </is>
      </c>
      <c r="N154" s="10" t="inlineStr">
        <is>
          <t>No</t>
        </is>
      </c>
      <c r="O154" s="10" t="inlineStr">
        <is>
          <t>No</t>
        </is>
      </c>
      <c r="P154" s="10" t="inlineStr">
        <is>
          <t>Not started</t>
        </is>
      </c>
      <c r="Q154" s="10" t="inlineStr">
        <is>
          <t>Not started</t>
        </is>
      </c>
      <c r="R154" s="10" t="inlineStr"/>
      <c r="S154" s="10" t="inlineStr"/>
      <c r="T154" s="10" t="inlineStr"/>
      <c r="U154" s="10" t="n"/>
      <c r="V154" s="10">
        <f>IF(U154="","",IF(U154&gt;=70,"Pass","Hold"))</f>
        <v/>
      </c>
      <c r="W154" s="11" t="n">
        <v>46288</v>
      </c>
      <c r="X154" s="10" t="inlineStr">
        <is>
          <t>10:00 AM</t>
        </is>
      </c>
      <c r="Y154" s="10" t="inlineStr">
        <is>
          <t>Scheduled</t>
        </is>
      </c>
      <c r="Z154" s="11" t="n"/>
      <c r="AA154" s="10" t="inlineStr"/>
      <c r="AB154" s="10" t="inlineStr"/>
      <c r="AC154" s="10" t="n"/>
      <c r="AD154" s="10" t="n"/>
      <c r="AE154" s="10" t="n"/>
      <c r="AF154" s="10" t="n"/>
      <c r="AG154" s="10" t="n"/>
      <c r="AH154" s="10" t="n"/>
      <c r="AI154" s="10" t="n"/>
      <c r="AJ154" s="10" t="n"/>
      <c r="AK154" s="10" t="n"/>
      <c r="AL154" s="10" t="n"/>
      <c r="AM154" s="10" t="inlineStr">
        <is>
          <t>No</t>
        </is>
      </c>
      <c r="AN154" s="10" t="n"/>
      <c r="AO154" s="10" t="n"/>
      <c r="AP154" s="10">
        <f>IF(AND(AC154&lt;&gt;"",AO154&lt;&gt;"",AO154&gt;0),AC154/AO154,"")</f>
        <v/>
      </c>
      <c r="AQ154" s="10">
        <f>IF(AP154="","",IF(AP154&gt;=2,"A",IF(AP154&gt;=1.2,"B",IF(AP154&gt;=0.6,"C","D"))))</f>
        <v/>
      </c>
      <c r="AR154" s="10" t="inlineStr"/>
      <c r="AS154" s="11" t="inlineStr"/>
      <c r="AT154" s="10" t="inlineStr"/>
    </row>
    <row r="155">
      <c r="A155" s="10" t="inlineStr">
        <is>
          <t>W08-U3-IN</t>
        </is>
      </c>
      <c r="B155" s="10" t="inlineStr">
        <is>
          <t>W08-U3</t>
        </is>
      </c>
      <c r="C155" s="10" t="n">
        <v>8</v>
      </c>
      <c r="D155" s="11" t="n">
        <v>46288</v>
      </c>
      <c r="E155" s="10" t="inlineStr">
        <is>
          <t>Wednesday</t>
        </is>
      </c>
      <c r="F155" s="10" t="inlineStr">
        <is>
          <t>Sam</t>
        </is>
      </c>
      <c r="G155" s="10" t="inlineStr">
        <is>
          <t>Every case, every bottle, every SKU — accounted for.</t>
        </is>
      </c>
      <c r="H155" s="10" t="inlineStr">
        <is>
          <t>Inspire</t>
        </is>
      </c>
      <c r="I155" s="10" t="inlineStr">
        <is>
          <t>Video</t>
        </is>
      </c>
      <c r="J155" s="10" t="inlineStr">
        <is>
          <t>Instagram</t>
        </is>
      </c>
      <c r="K155" s="10" t="inlineStr">
        <is>
          <t>Mirror</t>
        </is>
      </c>
      <c r="L155" s="10" t="inlineStr">
        <is>
          <t>A day in a CBD shop</t>
        </is>
      </c>
      <c r="M155" s="10" t="inlineStr">
        <is>
          <t>Book a demo</t>
        </is>
      </c>
      <c r="N155" s="10" t="inlineStr">
        <is>
          <t>No</t>
        </is>
      </c>
      <c r="O155" s="10" t="inlineStr">
        <is>
          <t>No</t>
        </is>
      </c>
      <c r="P155" s="10" t="inlineStr">
        <is>
          <t>Not started</t>
        </is>
      </c>
      <c r="Q155" s="10" t="inlineStr">
        <is>
          <t>Not started</t>
        </is>
      </c>
      <c r="R155" s="10" t="inlineStr"/>
      <c r="S155" s="10" t="inlineStr"/>
      <c r="T155" s="10" t="inlineStr"/>
      <c r="U155" s="10" t="n"/>
      <c r="V155" s="10">
        <f>IF(U155="","",IF(U155&gt;=70,"Pass","Hold"))</f>
        <v/>
      </c>
      <c r="W155" s="11" t="n">
        <v>46288</v>
      </c>
      <c r="X155" s="10" t="inlineStr">
        <is>
          <t>10:00 AM</t>
        </is>
      </c>
      <c r="Y155" s="10" t="inlineStr">
        <is>
          <t>Scheduled</t>
        </is>
      </c>
      <c r="Z155" s="11" t="n"/>
      <c r="AA155" s="10" t="inlineStr"/>
      <c r="AB155" s="10" t="inlineStr"/>
      <c r="AC155" s="10" t="n"/>
      <c r="AD155" s="10" t="n"/>
      <c r="AE155" s="10" t="n"/>
      <c r="AF155" s="10" t="n"/>
      <c r="AG155" s="10" t="n"/>
      <c r="AH155" s="10" t="n"/>
      <c r="AI155" s="10" t="n"/>
      <c r="AJ155" s="10" t="n"/>
      <c r="AK155" s="10" t="n"/>
      <c r="AL155" s="10" t="n"/>
      <c r="AM155" s="10" t="inlineStr">
        <is>
          <t>No</t>
        </is>
      </c>
      <c r="AN155" s="10" t="n"/>
      <c r="AO155" s="10" t="n"/>
      <c r="AP155" s="10">
        <f>IF(AND(AC155&lt;&gt;"",AO155&lt;&gt;"",AO155&gt;0),AC155/AO155,"")</f>
        <v/>
      </c>
      <c r="AQ155" s="10">
        <f>IF(AP155="","",IF(AP155&gt;=2,"A",IF(AP155&gt;=1.2,"B",IF(AP155&gt;=0.6,"C","D"))))</f>
        <v/>
      </c>
      <c r="AR155" s="10" t="inlineStr"/>
      <c r="AS155" s="11" t="inlineStr"/>
      <c r="AT155" s="10" t="inlineStr"/>
    </row>
    <row r="156">
      <c r="A156" s="10" t="inlineStr">
        <is>
          <t>W08-U4-LI</t>
        </is>
      </c>
      <c r="B156" s="10" t="inlineStr">
        <is>
          <t>W08-U4</t>
        </is>
      </c>
      <c r="C156" s="10" t="n">
        <v>8</v>
      </c>
      <c r="D156" s="11" t="n">
        <v>46289</v>
      </c>
      <c r="E156" s="10" t="inlineStr">
        <is>
          <t>Thursday</t>
        </is>
      </c>
      <c r="F156" s="10" t="inlineStr">
        <is>
          <t>Sam</t>
        </is>
      </c>
      <c r="G156" s="10" t="inlineStr">
        <is>
          <t>A quote built around your store, not a shelf price.</t>
        </is>
      </c>
      <c r="H156" s="10" t="inlineStr">
        <is>
          <t>Engage</t>
        </is>
      </c>
      <c r="I156" s="10" t="inlineStr">
        <is>
          <t>Static</t>
        </is>
      </c>
      <c r="J156" s="10" t="inlineStr">
        <is>
          <t>LinkedIn</t>
        </is>
      </c>
      <c r="K156" s="10" t="inlineStr">
        <is>
          <t>Primary</t>
        </is>
      </c>
      <c r="L156" s="10" t="inlineStr">
        <is>
          <t>Nobody's talking to you. We are.</t>
        </is>
      </c>
      <c r="M156" s="10" t="inlineStr">
        <is>
          <t>Book a demo</t>
        </is>
      </c>
      <c r="N156" s="10" t="inlineStr">
        <is>
          <t>No</t>
        </is>
      </c>
      <c r="O156" s="10" t="inlineStr">
        <is>
          <t>No</t>
        </is>
      </c>
      <c r="P156" s="10" t="inlineStr">
        <is>
          <t>Not started</t>
        </is>
      </c>
      <c r="Q156" s="10" t="inlineStr">
        <is>
          <t>Not started</t>
        </is>
      </c>
      <c r="R156" s="10" t="inlineStr"/>
      <c r="S156" s="10" t="inlineStr"/>
      <c r="T156" s="10" t="inlineStr"/>
      <c r="U156" s="10" t="n"/>
      <c r="V156" s="10">
        <f>IF(U156="","",IF(U156&gt;=70,"Pass","Hold"))</f>
        <v/>
      </c>
      <c r="W156" s="11" t="n">
        <v>46289</v>
      </c>
      <c r="X156" s="10" t="inlineStr">
        <is>
          <t>10:00 AM</t>
        </is>
      </c>
      <c r="Y156" s="10" t="inlineStr">
        <is>
          <t>Scheduled</t>
        </is>
      </c>
      <c r="Z156" s="11" t="n"/>
      <c r="AA156" s="10" t="inlineStr"/>
      <c r="AB156" s="10" t="inlineStr"/>
      <c r="AC156" s="10" t="n"/>
      <c r="AD156" s="10" t="n"/>
      <c r="AE156" s="10" t="n"/>
      <c r="AF156" s="10" t="n"/>
      <c r="AG156" s="10" t="n"/>
      <c r="AH156" s="10" t="n"/>
      <c r="AI156" s="10" t="n"/>
      <c r="AJ156" s="10" t="n"/>
      <c r="AK156" s="10" t="n"/>
      <c r="AL156" s="10" t="n"/>
      <c r="AM156" s="10" t="inlineStr">
        <is>
          <t>No</t>
        </is>
      </c>
      <c r="AN156" s="10" t="n"/>
      <c r="AO156" s="10" t="n"/>
      <c r="AP156" s="10">
        <f>IF(AND(AC156&lt;&gt;"",AO156&lt;&gt;"",AO156&gt;0),AC156/AO156,"")</f>
        <v/>
      </c>
      <c r="AQ156" s="10">
        <f>IF(AP156="","",IF(AP156&gt;=2,"A",IF(AP156&gt;=1.2,"B",IF(AP156&gt;=0.6,"C","D"))))</f>
        <v/>
      </c>
      <c r="AR156" s="10" t="inlineStr"/>
      <c r="AS156" s="11" t="inlineStr"/>
      <c r="AT156" s="10" t="inlineStr"/>
    </row>
    <row r="157">
      <c r="A157" s="10" t="inlineStr">
        <is>
          <t>W08-U4-FA</t>
        </is>
      </c>
      <c r="B157" s="10" t="inlineStr">
        <is>
          <t>W08-U4</t>
        </is>
      </c>
      <c r="C157" s="10" t="n">
        <v>8</v>
      </c>
      <c r="D157" s="11" t="n">
        <v>46289</v>
      </c>
      <c r="E157" s="10" t="inlineStr">
        <is>
          <t>Thursday</t>
        </is>
      </c>
      <c r="F157" s="10" t="inlineStr">
        <is>
          <t>Sam</t>
        </is>
      </c>
      <c r="G157" s="10" t="inlineStr">
        <is>
          <t>A quote built around your store, not a shelf price.</t>
        </is>
      </c>
      <c r="H157" s="10" t="inlineStr">
        <is>
          <t>Engage</t>
        </is>
      </c>
      <c r="I157" s="10" t="inlineStr">
        <is>
          <t>Static</t>
        </is>
      </c>
      <c r="J157" s="10" t="inlineStr">
        <is>
          <t>Facebook</t>
        </is>
      </c>
      <c r="K157" s="10" t="inlineStr">
        <is>
          <t>Mirror</t>
        </is>
      </c>
      <c r="L157" s="10" t="inlineStr">
        <is>
          <t>Nobody's talking to you. We are.</t>
        </is>
      </c>
      <c r="M157" s="10" t="inlineStr">
        <is>
          <t>Book a demo</t>
        </is>
      </c>
      <c r="N157" s="10" t="inlineStr">
        <is>
          <t>No</t>
        </is>
      </c>
      <c r="O157" s="10" t="inlineStr">
        <is>
          <t>No</t>
        </is>
      </c>
      <c r="P157" s="10" t="inlineStr">
        <is>
          <t>Not started</t>
        </is>
      </c>
      <c r="Q157" s="10" t="inlineStr">
        <is>
          <t>Not started</t>
        </is>
      </c>
      <c r="R157" s="10" t="inlineStr"/>
      <c r="S157" s="10" t="inlineStr"/>
      <c r="T157" s="10" t="inlineStr"/>
      <c r="U157" s="10" t="n"/>
      <c r="V157" s="10">
        <f>IF(U157="","",IF(U157&gt;=70,"Pass","Hold"))</f>
        <v/>
      </c>
      <c r="W157" s="11" t="n">
        <v>46289</v>
      </c>
      <c r="X157" s="10" t="inlineStr">
        <is>
          <t>10:00 AM</t>
        </is>
      </c>
      <c r="Y157" s="10" t="inlineStr">
        <is>
          <t>Scheduled</t>
        </is>
      </c>
      <c r="Z157" s="11" t="n"/>
      <c r="AA157" s="10" t="inlineStr"/>
      <c r="AB157" s="10" t="inlineStr"/>
      <c r="AC157" s="10" t="n"/>
      <c r="AD157" s="10" t="n"/>
      <c r="AE157" s="10" t="n"/>
      <c r="AF157" s="10" t="n"/>
      <c r="AG157" s="10" t="n"/>
      <c r="AH157" s="10" t="n"/>
      <c r="AI157" s="10" t="n"/>
      <c r="AJ157" s="10" t="n"/>
      <c r="AK157" s="10" t="n"/>
      <c r="AL157" s="10" t="n"/>
      <c r="AM157" s="10" t="inlineStr">
        <is>
          <t>No</t>
        </is>
      </c>
      <c r="AN157" s="10" t="n"/>
      <c r="AO157" s="10" t="n"/>
      <c r="AP157" s="10">
        <f>IF(AND(AC157&lt;&gt;"",AO157&lt;&gt;"",AO157&gt;0),AC157/AO157,"")</f>
        <v/>
      </c>
      <c r="AQ157" s="10">
        <f>IF(AP157="","",IF(AP157&gt;=2,"A",IF(AP157&gt;=1.2,"B",IF(AP157&gt;=0.6,"C","D"))))</f>
        <v/>
      </c>
      <c r="AR157" s="10" t="inlineStr"/>
      <c r="AS157" s="11" t="inlineStr"/>
      <c r="AT157" s="10" t="inlineStr"/>
    </row>
    <row r="158">
      <c r="A158" s="10" t="inlineStr">
        <is>
          <t>W08-U4-IN</t>
        </is>
      </c>
      <c r="B158" s="10" t="inlineStr">
        <is>
          <t>W08-U4</t>
        </is>
      </c>
      <c r="C158" s="10" t="n">
        <v>8</v>
      </c>
      <c r="D158" s="11" t="n">
        <v>46289</v>
      </c>
      <c r="E158" s="10" t="inlineStr">
        <is>
          <t>Thursday</t>
        </is>
      </c>
      <c r="F158" s="10" t="inlineStr">
        <is>
          <t>Sam</t>
        </is>
      </c>
      <c r="G158" s="10" t="inlineStr">
        <is>
          <t>A quote built around your store, not a shelf price.</t>
        </is>
      </c>
      <c r="H158" s="10" t="inlineStr">
        <is>
          <t>Engage</t>
        </is>
      </c>
      <c r="I158" s="10" t="inlineStr">
        <is>
          <t>Static</t>
        </is>
      </c>
      <c r="J158" s="10" t="inlineStr">
        <is>
          <t>Instagram</t>
        </is>
      </c>
      <c r="K158" s="10" t="inlineStr">
        <is>
          <t>Adapted</t>
        </is>
      </c>
      <c r="L158" s="10" t="inlineStr">
        <is>
          <t>Nobody's talking to you. We are.</t>
        </is>
      </c>
      <c r="M158" s="10" t="inlineStr">
        <is>
          <t>Book a demo</t>
        </is>
      </c>
      <c r="N158" s="10" t="inlineStr">
        <is>
          <t>No</t>
        </is>
      </c>
      <c r="O158" s="10" t="inlineStr">
        <is>
          <t>No</t>
        </is>
      </c>
      <c r="P158" s="10" t="inlineStr">
        <is>
          <t>Not started</t>
        </is>
      </c>
      <c r="Q158" s="10" t="inlineStr">
        <is>
          <t>Not started</t>
        </is>
      </c>
      <c r="R158" s="10" t="inlineStr"/>
      <c r="S158" s="10" t="inlineStr"/>
      <c r="T158" s="10" t="inlineStr"/>
      <c r="U158" s="10" t="n"/>
      <c r="V158" s="10">
        <f>IF(U158="","",IF(U158&gt;=70,"Pass","Hold"))</f>
        <v/>
      </c>
      <c r="W158" s="11" t="n">
        <v>46289</v>
      </c>
      <c r="X158" s="10" t="inlineStr">
        <is>
          <t>10:00 AM</t>
        </is>
      </c>
      <c r="Y158" s="10" t="inlineStr">
        <is>
          <t>Scheduled</t>
        </is>
      </c>
      <c r="Z158" s="11" t="n"/>
      <c r="AA158" s="10" t="inlineStr"/>
      <c r="AB158" s="10" t="inlineStr"/>
      <c r="AC158" s="10" t="n"/>
      <c r="AD158" s="10" t="n"/>
      <c r="AE158" s="10" t="n"/>
      <c r="AF158" s="10" t="n"/>
      <c r="AG158" s="10" t="n"/>
      <c r="AH158" s="10" t="n"/>
      <c r="AI158" s="10" t="n"/>
      <c r="AJ158" s="10" t="n"/>
      <c r="AK158" s="10" t="n"/>
      <c r="AL158" s="10" t="n"/>
      <c r="AM158" s="10" t="inlineStr">
        <is>
          <t>No</t>
        </is>
      </c>
      <c r="AN158" s="10" t="n"/>
      <c r="AO158" s="10" t="n"/>
      <c r="AP158" s="10">
        <f>IF(AND(AC158&lt;&gt;"",AO158&lt;&gt;"",AO158&gt;0),AC158/AO158,"")</f>
        <v/>
      </c>
      <c r="AQ158" s="10">
        <f>IF(AP158="","",IF(AP158&gt;=2,"A",IF(AP158&gt;=1.2,"B",IF(AP158&gt;=0.6,"C","D"))))</f>
        <v/>
      </c>
      <c r="AR158" s="10" t="inlineStr"/>
      <c r="AS158" s="11" t="inlineStr"/>
      <c r="AT158" s="10" t="inlineStr"/>
    </row>
    <row r="159">
      <c r="A159" s="10" t="inlineStr">
        <is>
          <t>W08-U5-IN</t>
        </is>
      </c>
      <c r="B159" s="10" t="inlineStr">
        <is>
          <t>W08-U5</t>
        </is>
      </c>
      <c r="C159" s="10" t="n">
        <v>8</v>
      </c>
      <c r="D159" s="11" t="n">
        <v>46290</v>
      </c>
      <c r="E159" s="10" t="inlineStr">
        <is>
          <t>Friday</t>
        </is>
      </c>
      <c r="F159" s="10" t="inlineStr">
        <is>
          <t>Sam</t>
        </is>
      </c>
      <c r="G159" s="10" t="inlineStr">
        <is>
          <t>Built for what needs an ID check.</t>
        </is>
      </c>
      <c r="H159" s="10" t="inlineStr">
        <is>
          <t>Engage</t>
        </is>
      </c>
      <c r="I159" s="10" t="inlineStr">
        <is>
          <t>Text</t>
        </is>
      </c>
      <c r="J159" s="10" t="inlineStr">
        <is>
          <t>Instagram</t>
        </is>
      </c>
      <c r="K159" s="10" t="inlineStr">
        <is>
          <t>Primary</t>
        </is>
      </c>
      <c r="L159" s="10" t="inlineStr">
        <is>
          <t>What matters most for a CBD shop's POS?</t>
        </is>
      </c>
      <c r="M159" s="10" t="inlineStr">
        <is>
          <t>Engage (vote)</t>
        </is>
      </c>
      <c r="N159" s="10" t="inlineStr">
        <is>
          <t>No</t>
        </is>
      </c>
      <c r="O159" s="10" t="inlineStr">
        <is>
          <t>No</t>
        </is>
      </c>
      <c r="P159" s="10" t="inlineStr">
        <is>
          <t>Not started</t>
        </is>
      </c>
      <c r="Q159" s="10" t="inlineStr">
        <is>
          <t>Not started</t>
        </is>
      </c>
      <c r="R159" s="10" t="inlineStr"/>
      <c r="S159" s="10" t="inlineStr"/>
      <c r="T159" s="10" t="inlineStr"/>
      <c r="U159" s="10" t="n"/>
      <c r="V159" s="10">
        <f>IF(U159="","",IF(U159&gt;=70,"Pass","Hold"))</f>
        <v/>
      </c>
      <c r="W159" s="11" t="n">
        <v>46290</v>
      </c>
      <c r="X159" s="10" t="inlineStr">
        <is>
          <t>10:00 AM</t>
        </is>
      </c>
      <c r="Y159" s="10" t="inlineStr">
        <is>
          <t>Scheduled</t>
        </is>
      </c>
      <c r="Z159" s="11" t="n"/>
      <c r="AA159" s="10" t="inlineStr"/>
      <c r="AB159" s="10" t="inlineStr"/>
      <c r="AC159" s="10" t="n"/>
      <c r="AD159" s="10" t="n"/>
      <c r="AE159" s="10" t="n"/>
      <c r="AF159" s="10" t="n"/>
      <c r="AG159" s="10" t="n"/>
      <c r="AH159" s="10" t="n"/>
      <c r="AI159" s="10" t="n"/>
      <c r="AJ159" s="10" t="n"/>
      <c r="AK159" s="10" t="n"/>
      <c r="AL159" s="10" t="n"/>
      <c r="AM159" s="10" t="inlineStr">
        <is>
          <t>No</t>
        </is>
      </c>
      <c r="AN159" s="10" t="n"/>
      <c r="AO159" s="10" t="n"/>
      <c r="AP159" s="10">
        <f>IF(AND(AC159&lt;&gt;"",AO159&lt;&gt;"",AO159&gt;0),AC159/AO159,"")</f>
        <v/>
      </c>
      <c r="AQ159" s="10">
        <f>IF(AP159="","",IF(AP159&gt;=2,"A",IF(AP159&gt;=1.2,"B",IF(AP159&gt;=0.6,"C","D"))))</f>
        <v/>
      </c>
      <c r="AR159" s="10" t="inlineStr"/>
      <c r="AS159" s="11" t="inlineStr"/>
      <c r="AT159" s="10" t="inlineStr"/>
    </row>
    <row r="160">
      <c r="A160" s="10" t="inlineStr">
        <is>
          <t>W08-U5-LI</t>
        </is>
      </c>
      <c r="B160" s="10" t="inlineStr">
        <is>
          <t>W08-U5</t>
        </is>
      </c>
      <c r="C160" s="10" t="n">
        <v>8</v>
      </c>
      <c r="D160" s="11" t="n">
        <v>46290</v>
      </c>
      <c r="E160" s="10" t="inlineStr">
        <is>
          <t>Friday</t>
        </is>
      </c>
      <c r="F160" s="10" t="inlineStr">
        <is>
          <t>Sam</t>
        </is>
      </c>
      <c r="G160" s="10" t="inlineStr">
        <is>
          <t>Built for what needs an ID check.</t>
        </is>
      </c>
      <c r="H160" s="10" t="inlineStr">
        <is>
          <t>Engage</t>
        </is>
      </c>
      <c r="I160" s="10" t="inlineStr">
        <is>
          <t>Text</t>
        </is>
      </c>
      <c r="J160" s="10" t="inlineStr">
        <is>
          <t>LinkedIn</t>
        </is>
      </c>
      <c r="K160" s="10" t="inlineStr">
        <is>
          <t>Adapted</t>
        </is>
      </c>
      <c r="L160" s="10" t="inlineStr">
        <is>
          <t>What matters most for a CBD shop's POS?</t>
        </is>
      </c>
      <c r="M160" s="10" t="inlineStr">
        <is>
          <t>Engage (vote)</t>
        </is>
      </c>
      <c r="N160" s="10" t="inlineStr">
        <is>
          <t>No</t>
        </is>
      </c>
      <c r="O160" s="10" t="inlineStr">
        <is>
          <t>No</t>
        </is>
      </c>
      <c r="P160" s="10" t="inlineStr">
        <is>
          <t>Not started</t>
        </is>
      </c>
      <c r="Q160" s="10" t="inlineStr">
        <is>
          <t>Not started</t>
        </is>
      </c>
      <c r="R160" s="10" t="inlineStr"/>
      <c r="S160" s="10" t="inlineStr"/>
      <c r="T160" s="10" t="inlineStr"/>
      <c r="U160" s="10" t="n"/>
      <c r="V160" s="10">
        <f>IF(U160="","",IF(U160&gt;=70,"Pass","Hold"))</f>
        <v/>
      </c>
      <c r="W160" s="11" t="n">
        <v>46290</v>
      </c>
      <c r="X160" s="10" t="inlineStr">
        <is>
          <t>10:00 AM</t>
        </is>
      </c>
      <c r="Y160" s="10" t="inlineStr">
        <is>
          <t>Scheduled</t>
        </is>
      </c>
      <c r="Z160" s="11" t="n"/>
      <c r="AA160" s="10" t="inlineStr"/>
      <c r="AB160" s="10" t="inlineStr"/>
      <c r="AC160" s="10" t="n"/>
      <c r="AD160" s="10" t="n"/>
      <c r="AE160" s="10" t="n"/>
      <c r="AF160" s="10" t="n"/>
      <c r="AG160" s="10" t="n"/>
      <c r="AH160" s="10" t="n"/>
      <c r="AI160" s="10" t="n"/>
      <c r="AJ160" s="10" t="n"/>
      <c r="AK160" s="10" t="n"/>
      <c r="AL160" s="10" t="n"/>
      <c r="AM160" s="10" t="inlineStr">
        <is>
          <t>No</t>
        </is>
      </c>
      <c r="AN160" s="10" t="n"/>
      <c r="AO160" s="10" t="n"/>
      <c r="AP160" s="10">
        <f>IF(AND(AC160&lt;&gt;"",AO160&lt;&gt;"",AO160&gt;0),AC160/AO160,"")</f>
        <v/>
      </c>
      <c r="AQ160" s="10">
        <f>IF(AP160="","",IF(AP160&gt;=2,"A",IF(AP160&gt;=1.2,"B",IF(AP160&gt;=0.6,"C","D"))))</f>
        <v/>
      </c>
      <c r="AR160" s="10" t="inlineStr"/>
      <c r="AS160" s="11" t="inlineStr"/>
      <c r="AT160" s="10" t="inlineStr"/>
    </row>
    <row r="161">
      <c r="A161" s="10" t="inlineStr">
        <is>
          <t>W08-U6-IN</t>
        </is>
      </c>
      <c r="B161" s="10" t="inlineStr">
        <is>
          <t>W08-U6</t>
        </is>
      </c>
      <c r="C161" s="10" t="n">
        <v>8</v>
      </c>
      <c r="D161" s="11" t="n">
        <v>46291</v>
      </c>
      <c r="E161" s="10" t="inlineStr">
        <is>
          <t>Saturday</t>
        </is>
      </c>
      <c r="F161" s="10" t="inlineStr">
        <is>
          <t>Sam</t>
        </is>
      </c>
      <c r="G161" s="10" t="inlineStr">
        <is>
          <t>A quote built around your store, not a shelf price.</t>
        </is>
      </c>
      <c r="H161" s="10" t="inlineStr">
        <is>
          <t>Inspire</t>
        </is>
      </c>
      <c r="I161" s="10" t="inlineStr">
        <is>
          <t>Static</t>
        </is>
      </c>
      <c r="J161" s="10" t="inlineStr">
        <is>
          <t>Instagram</t>
        </is>
      </c>
      <c r="K161" s="10" t="inlineStr">
        <is>
          <t>Primary</t>
        </is>
      </c>
      <c r="L161" s="10" t="inlineStr">
        <is>
          <t>Built for a category that's been overlooked</t>
        </is>
      </c>
      <c r="M161" s="10" t="inlineStr">
        <is>
          <t>Book a demo</t>
        </is>
      </c>
      <c r="N161" s="10" t="inlineStr">
        <is>
          <t>No</t>
        </is>
      </c>
      <c r="O161" s="10" t="inlineStr">
        <is>
          <t>No</t>
        </is>
      </c>
      <c r="P161" s="10" t="inlineStr">
        <is>
          <t>Not started</t>
        </is>
      </c>
      <c r="Q161" s="10" t="inlineStr">
        <is>
          <t>Not started</t>
        </is>
      </c>
      <c r="R161" s="10" t="inlineStr"/>
      <c r="S161" s="10" t="inlineStr"/>
      <c r="T161" s="10" t="inlineStr"/>
      <c r="U161" s="10" t="n"/>
      <c r="V161" s="10">
        <f>IF(U161="","",IF(U161&gt;=70,"Pass","Hold"))</f>
        <v/>
      </c>
      <c r="W161" s="11" t="n">
        <v>46291</v>
      </c>
      <c r="X161" s="10" t="inlineStr">
        <is>
          <t>10:00 AM</t>
        </is>
      </c>
      <c r="Y161" s="10" t="inlineStr">
        <is>
          <t>Scheduled</t>
        </is>
      </c>
      <c r="Z161" s="11" t="n"/>
      <c r="AA161" s="10" t="inlineStr"/>
      <c r="AB161" s="10" t="inlineStr"/>
      <c r="AC161" s="10" t="n"/>
      <c r="AD161" s="10" t="n"/>
      <c r="AE161" s="10" t="n"/>
      <c r="AF161" s="10" t="n"/>
      <c r="AG161" s="10" t="n"/>
      <c r="AH161" s="10" t="n"/>
      <c r="AI161" s="10" t="n"/>
      <c r="AJ161" s="10" t="n"/>
      <c r="AK161" s="10" t="n"/>
      <c r="AL161" s="10" t="n"/>
      <c r="AM161" s="10" t="inlineStr">
        <is>
          <t>No</t>
        </is>
      </c>
      <c r="AN161" s="10" t="n"/>
      <c r="AO161" s="10" t="n"/>
      <c r="AP161" s="10">
        <f>IF(AND(AC161&lt;&gt;"",AO161&lt;&gt;"",AO161&gt;0),AC161/AO161,"")</f>
        <v/>
      </c>
      <c r="AQ161" s="10">
        <f>IF(AP161="","",IF(AP161&gt;=2,"A",IF(AP161&gt;=1.2,"B",IF(AP161&gt;=0.6,"C","D"))))</f>
        <v/>
      </c>
      <c r="AR161" s="10" t="inlineStr"/>
      <c r="AS161" s="11" t="inlineStr"/>
      <c r="AT161" s="10" t="inlineStr"/>
    </row>
    <row r="162">
      <c r="A162" s="10" t="inlineStr">
        <is>
          <t>W08-U6-FA</t>
        </is>
      </c>
      <c r="B162" s="10" t="inlineStr">
        <is>
          <t>W08-U6</t>
        </is>
      </c>
      <c r="C162" s="10" t="n">
        <v>8</v>
      </c>
      <c r="D162" s="11" t="n">
        <v>46291</v>
      </c>
      <c r="E162" s="10" t="inlineStr">
        <is>
          <t>Saturday</t>
        </is>
      </c>
      <c r="F162" s="10" t="inlineStr">
        <is>
          <t>Sam</t>
        </is>
      </c>
      <c r="G162" s="10" t="inlineStr">
        <is>
          <t>A quote built around your store, not a shelf price.</t>
        </is>
      </c>
      <c r="H162" s="10" t="inlineStr">
        <is>
          <t>Inspire</t>
        </is>
      </c>
      <c r="I162" s="10" t="inlineStr">
        <is>
          <t>Static</t>
        </is>
      </c>
      <c r="J162" s="10" t="inlineStr">
        <is>
          <t>Facebook</t>
        </is>
      </c>
      <c r="K162" s="10" t="inlineStr">
        <is>
          <t>Mirror</t>
        </is>
      </c>
      <c r="L162" s="10" t="inlineStr">
        <is>
          <t>Built for a category that's been overlooked</t>
        </is>
      </c>
      <c r="M162" s="10" t="inlineStr">
        <is>
          <t>Book a demo</t>
        </is>
      </c>
      <c r="N162" s="10" t="inlineStr">
        <is>
          <t>No</t>
        </is>
      </c>
      <c r="O162" s="10" t="inlineStr">
        <is>
          <t>No</t>
        </is>
      </c>
      <c r="P162" s="10" t="inlineStr">
        <is>
          <t>Not started</t>
        </is>
      </c>
      <c r="Q162" s="10" t="inlineStr">
        <is>
          <t>Not started</t>
        </is>
      </c>
      <c r="R162" s="10" t="inlineStr"/>
      <c r="S162" s="10" t="inlineStr"/>
      <c r="T162" s="10" t="inlineStr"/>
      <c r="U162" s="10" t="n"/>
      <c r="V162" s="10">
        <f>IF(U162="","",IF(U162&gt;=70,"Pass","Hold"))</f>
        <v/>
      </c>
      <c r="W162" s="11" t="n">
        <v>46291</v>
      </c>
      <c r="X162" s="10" t="inlineStr">
        <is>
          <t>10:00 AM</t>
        </is>
      </c>
      <c r="Y162" s="10" t="inlineStr">
        <is>
          <t>Scheduled</t>
        </is>
      </c>
      <c r="Z162" s="11" t="n"/>
      <c r="AA162" s="10" t="inlineStr"/>
      <c r="AB162" s="10" t="inlineStr"/>
      <c r="AC162" s="10" t="n"/>
      <c r="AD162" s="10" t="n"/>
      <c r="AE162" s="10" t="n"/>
      <c r="AF162" s="10" t="n"/>
      <c r="AG162" s="10" t="n"/>
      <c r="AH162" s="10" t="n"/>
      <c r="AI162" s="10" t="n"/>
      <c r="AJ162" s="10" t="n"/>
      <c r="AK162" s="10" t="n"/>
      <c r="AL162" s="10" t="n"/>
      <c r="AM162" s="10" t="inlineStr">
        <is>
          <t>No</t>
        </is>
      </c>
      <c r="AN162" s="10" t="n"/>
      <c r="AO162" s="10" t="n"/>
      <c r="AP162" s="10">
        <f>IF(AND(AC162&lt;&gt;"",AO162&lt;&gt;"",AO162&gt;0),AC162/AO162,"")</f>
        <v/>
      </c>
      <c r="AQ162" s="10">
        <f>IF(AP162="","",IF(AP162&gt;=2,"A",IF(AP162&gt;=1.2,"B",IF(AP162&gt;=0.6,"C","D"))))</f>
        <v/>
      </c>
      <c r="AR162" s="10" t="inlineStr"/>
      <c r="AS162" s="11" t="inlineStr"/>
      <c r="AT162" s="10" t="inlineStr"/>
    </row>
    <row r="163">
      <c r="A163" s="10" t="inlineStr">
        <is>
          <t>W08-U6-X</t>
        </is>
      </c>
      <c r="B163" s="10" t="inlineStr">
        <is>
          <t>W08-U6</t>
        </is>
      </c>
      <c r="C163" s="10" t="n">
        <v>8</v>
      </c>
      <c r="D163" s="11" t="n">
        <v>46291</v>
      </c>
      <c r="E163" s="10" t="inlineStr">
        <is>
          <t>Saturday</t>
        </is>
      </c>
      <c r="F163" s="10" t="inlineStr">
        <is>
          <t>Sam</t>
        </is>
      </c>
      <c r="G163" s="10" t="inlineStr">
        <is>
          <t>A quote built around your store, not a shelf price.</t>
        </is>
      </c>
      <c r="H163" s="10" t="inlineStr">
        <is>
          <t>Inspire</t>
        </is>
      </c>
      <c r="I163" s="10" t="inlineStr">
        <is>
          <t>Static</t>
        </is>
      </c>
      <c r="J163" s="10" t="inlineStr">
        <is>
          <t>X</t>
        </is>
      </c>
      <c r="K163" s="10" t="inlineStr">
        <is>
          <t>Mirror</t>
        </is>
      </c>
      <c r="L163" s="10" t="inlineStr">
        <is>
          <t>Built for a category that's been overlooked</t>
        </is>
      </c>
      <c r="M163" s="10" t="inlineStr">
        <is>
          <t>Book a demo</t>
        </is>
      </c>
      <c r="N163" s="10" t="inlineStr">
        <is>
          <t>No</t>
        </is>
      </c>
      <c r="O163" s="10" t="inlineStr">
        <is>
          <t>No</t>
        </is>
      </c>
      <c r="P163" s="10" t="inlineStr">
        <is>
          <t>Not started</t>
        </is>
      </c>
      <c r="Q163" s="10" t="inlineStr">
        <is>
          <t>Not started</t>
        </is>
      </c>
      <c r="R163" s="10" t="inlineStr"/>
      <c r="S163" s="10" t="inlineStr"/>
      <c r="T163" s="10" t="inlineStr"/>
      <c r="U163" s="10" t="n"/>
      <c r="V163" s="10">
        <f>IF(U163="","",IF(U163&gt;=70,"Pass","Hold"))</f>
        <v/>
      </c>
      <c r="W163" s="11" t="n">
        <v>46291</v>
      </c>
      <c r="X163" s="10" t="inlineStr">
        <is>
          <t>10:00 AM</t>
        </is>
      </c>
      <c r="Y163" s="10" t="inlineStr">
        <is>
          <t>Scheduled</t>
        </is>
      </c>
      <c r="Z163" s="11" t="n"/>
      <c r="AA163" s="10" t="inlineStr"/>
      <c r="AB163" s="10" t="inlineStr"/>
      <c r="AC163" s="10" t="n"/>
      <c r="AD163" s="10" t="n"/>
      <c r="AE163" s="10" t="n"/>
      <c r="AF163" s="10" t="n"/>
      <c r="AG163" s="10" t="n"/>
      <c r="AH163" s="10" t="n"/>
      <c r="AI163" s="10" t="n"/>
      <c r="AJ163" s="10" t="n"/>
      <c r="AK163" s="10" t="n"/>
      <c r="AL163" s="10" t="n"/>
      <c r="AM163" s="10" t="inlineStr">
        <is>
          <t>No</t>
        </is>
      </c>
      <c r="AN163" s="10" t="n"/>
      <c r="AO163" s="10" t="n"/>
      <c r="AP163" s="10">
        <f>IF(AND(AC163&lt;&gt;"",AO163&lt;&gt;"",AO163&gt;0),AC163/AO163,"")</f>
        <v/>
      </c>
      <c r="AQ163" s="10">
        <f>IF(AP163="","",IF(AP163&gt;=2,"A",IF(AP163&gt;=1.2,"B",IF(AP163&gt;=0.6,"C","D"))))</f>
        <v/>
      </c>
      <c r="AR163" s="10" t="inlineStr"/>
      <c r="AS163" s="11" t="inlineStr"/>
      <c r="AT163" s="10" t="inlineStr"/>
    </row>
    <row r="164">
      <c r="A164" s="10" t="inlineStr">
        <is>
          <t>W09-U1-LI</t>
        </is>
      </c>
      <c r="B164" s="10" t="inlineStr">
        <is>
          <t>W09-U1</t>
        </is>
      </c>
      <c r="C164" s="10" t="n">
        <v>9</v>
      </c>
      <c r="D164" s="11" t="n">
        <v>46293</v>
      </c>
      <c r="E164" s="10" t="inlineStr">
        <is>
          <t>Monday</t>
        </is>
      </c>
      <c r="F164" s="10" t="inlineStr">
        <is>
          <t>Priya</t>
        </is>
      </c>
      <c r="G164" s="10" t="inlineStr">
        <is>
          <t>One system, every register, every location.</t>
        </is>
      </c>
      <c r="H164" s="10" t="inlineStr">
        <is>
          <t>Educate</t>
        </is>
      </c>
      <c r="I164" s="10" t="inlineStr">
        <is>
          <t>Text</t>
        </is>
      </c>
      <c r="J164" s="10" t="inlineStr">
        <is>
          <t>LinkedIn</t>
        </is>
      </c>
      <c r="K164" s="10" t="inlineStr">
        <is>
          <t>Primary</t>
        </is>
      </c>
      <c r="L164" s="10" t="inlineStr">
        <is>
          <t>Customer story: [Reference Merchant]</t>
        </is>
      </c>
      <c r="M164" s="10" t="inlineStr">
        <is>
          <t>Read more (link)</t>
        </is>
      </c>
      <c r="N164" s="10" t="inlineStr">
        <is>
          <t>No</t>
        </is>
      </c>
      <c r="O164" s="10" t="inlineStr">
        <is>
          <t>Yes</t>
        </is>
      </c>
      <c r="P164" s="10" t="inlineStr">
        <is>
          <t>Not started</t>
        </is>
      </c>
      <c r="Q164" s="10" t="inlineStr">
        <is>
          <t>Not started</t>
        </is>
      </c>
      <c r="R164" s="10" t="inlineStr"/>
      <c r="S164" s="10" t="inlineStr"/>
      <c r="T164" s="10" t="inlineStr"/>
      <c r="U164" s="10" t="n"/>
      <c r="V164" s="10">
        <f>IF(U164="","",IF(U164&gt;=70,"Pass","Hold"))</f>
        <v/>
      </c>
      <c r="W164" s="11" t="n">
        <v>46293</v>
      </c>
      <c r="X164" s="10" t="inlineStr">
        <is>
          <t>10:00 AM</t>
        </is>
      </c>
      <c r="Y164" s="10" t="inlineStr">
        <is>
          <t>Scheduled</t>
        </is>
      </c>
      <c r="Z164" s="11" t="n"/>
      <c r="AA164" s="10" t="inlineStr"/>
      <c r="AB164" s="10" t="inlineStr"/>
      <c r="AC164" s="10" t="n"/>
      <c r="AD164" s="10" t="n"/>
      <c r="AE164" s="10" t="n"/>
      <c r="AF164" s="10" t="n"/>
      <c r="AG164" s="10" t="n"/>
      <c r="AH164" s="10" t="n"/>
      <c r="AI164" s="10" t="n"/>
      <c r="AJ164" s="10" t="n"/>
      <c r="AK164" s="10" t="n"/>
      <c r="AL164" s="10" t="n"/>
      <c r="AM164" s="10" t="inlineStr">
        <is>
          <t>No</t>
        </is>
      </c>
      <c r="AN164" s="10" t="n"/>
      <c r="AO164" s="10" t="n"/>
      <c r="AP164" s="10">
        <f>IF(AND(AC164&lt;&gt;"",AO164&lt;&gt;"",AO164&gt;0),AC164/AO164,"")</f>
        <v/>
      </c>
      <c r="AQ164" s="10">
        <f>IF(AP164="","",IF(AP164&gt;=2,"A",IF(AP164&gt;=1.2,"B",IF(AP164&gt;=0.6,"C","D"))))</f>
        <v/>
      </c>
      <c r="AR164" s="10" t="inlineStr"/>
      <c r="AS164" s="11" t="inlineStr"/>
      <c r="AT164" s="10" t="inlineStr"/>
    </row>
    <row r="165">
      <c r="A165" s="10" t="inlineStr">
        <is>
          <t>W09-U1-FA</t>
        </is>
      </c>
      <c r="B165" s="10" t="inlineStr">
        <is>
          <t>W09-U1</t>
        </is>
      </c>
      <c r="C165" s="10" t="n">
        <v>9</v>
      </c>
      <c r="D165" s="11" t="n">
        <v>46293</v>
      </c>
      <c r="E165" s="10" t="inlineStr">
        <is>
          <t>Monday</t>
        </is>
      </c>
      <c r="F165" s="10" t="inlineStr">
        <is>
          <t>Priya</t>
        </is>
      </c>
      <c r="G165" s="10" t="inlineStr">
        <is>
          <t>One system, every register, every location.</t>
        </is>
      </c>
      <c r="H165" s="10" t="inlineStr">
        <is>
          <t>Educate</t>
        </is>
      </c>
      <c r="I165" s="10" t="inlineStr">
        <is>
          <t>Text</t>
        </is>
      </c>
      <c r="J165" s="10" t="inlineStr">
        <is>
          <t>Facebook</t>
        </is>
      </c>
      <c r="K165" s="10" t="inlineStr">
        <is>
          <t>Primary</t>
        </is>
      </c>
      <c r="L165" s="10" t="inlineStr">
        <is>
          <t>Customer story: [Reference Merchant]</t>
        </is>
      </c>
      <c r="M165" s="10" t="inlineStr">
        <is>
          <t>Read more (link)</t>
        </is>
      </c>
      <c r="N165" s="10" t="inlineStr">
        <is>
          <t>No</t>
        </is>
      </c>
      <c r="O165" s="10" t="inlineStr">
        <is>
          <t>Yes</t>
        </is>
      </c>
      <c r="P165" s="10" t="inlineStr">
        <is>
          <t>Not started</t>
        </is>
      </c>
      <c r="Q165" s="10" t="inlineStr">
        <is>
          <t>Not started</t>
        </is>
      </c>
      <c r="R165" s="10" t="inlineStr"/>
      <c r="S165" s="10" t="inlineStr"/>
      <c r="T165" s="10" t="inlineStr"/>
      <c r="U165" s="10" t="n"/>
      <c r="V165" s="10">
        <f>IF(U165="","",IF(U165&gt;=70,"Pass","Hold"))</f>
        <v/>
      </c>
      <c r="W165" s="11" t="n">
        <v>46293</v>
      </c>
      <c r="X165" s="10" t="inlineStr">
        <is>
          <t>10:00 AM</t>
        </is>
      </c>
      <c r="Y165" s="10" t="inlineStr">
        <is>
          <t>Scheduled</t>
        </is>
      </c>
      <c r="Z165" s="11" t="n"/>
      <c r="AA165" s="10" t="inlineStr"/>
      <c r="AB165" s="10" t="inlineStr"/>
      <c r="AC165" s="10" t="n"/>
      <c r="AD165" s="10" t="n"/>
      <c r="AE165" s="10" t="n"/>
      <c r="AF165" s="10" t="n"/>
      <c r="AG165" s="10" t="n"/>
      <c r="AH165" s="10" t="n"/>
      <c r="AI165" s="10" t="n"/>
      <c r="AJ165" s="10" t="n"/>
      <c r="AK165" s="10" t="n"/>
      <c r="AL165" s="10" t="n"/>
      <c r="AM165" s="10" t="inlineStr">
        <is>
          <t>No</t>
        </is>
      </c>
      <c r="AN165" s="10" t="n"/>
      <c r="AO165" s="10" t="n"/>
      <c r="AP165" s="10">
        <f>IF(AND(AC165&lt;&gt;"",AO165&lt;&gt;"",AO165&gt;0),AC165/AO165,"")</f>
        <v/>
      </c>
      <c r="AQ165" s="10">
        <f>IF(AP165="","",IF(AP165&gt;=2,"A",IF(AP165&gt;=1.2,"B",IF(AP165&gt;=0.6,"C","D"))))</f>
        <v/>
      </c>
      <c r="AR165" s="10" t="inlineStr"/>
      <c r="AS165" s="11" t="inlineStr"/>
      <c r="AT165" s="10" t="inlineStr"/>
    </row>
    <row r="166">
      <c r="A166" s="10" t="inlineStr">
        <is>
          <t>W09-U1-BL</t>
        </is>
      </c>
      <c r="B166" s="10" t="inlineStr">
        <is>
          <t>W09-U1</t>
        </is>
      </c>
      <c r="C166" s="10" t="n">
        <v>9</v>
      </c>
      <c r="D166" s="11" t="n">
        <v>46293</v>
      </c>
      <c r="E166" s="10" t="inlineStr">
        <is>
          <t>Monday</t>
        </is>
      </c>
      <c r="F166" s="10" t="inlineStr">
        <is>
          <t>Priya</t>
        </is>
      </c>
      <c r="G166" s="10" t="inlineStr">
        <is>
          <t>One system, every register, every location.</t>
        </is>
      </c>
      <c r="H166" s="10" t="inlineStr">
        <is>
          <t>Educate</t>
        </is>
      </c>
      <c r="I166" s="10" t="inlineStr">
        <is>
          <t>Text</t>
        </is>
      </c>
      <c r="J166" s="10" t="inlineStr">
        <is>
          <t>Blog/SEO</t>
        </is>
      </c>
      <c r="K166" s="10" t="inlineStr">
        <is>
          <t>Primary</t>
        </is>
      </c>
      <c r="L166" s="10" t="inlineStr">
        <is>
          <t>Customer story: [Reference Merchant]</t>
        </is>
      </c>
      <c r="M166" s="10" t="inlineStr">
        <is>
          <t>Read more (link)</t>
        </is>
      </c>
      <c r="N166" s="10" t="inlineStr">
        <is>
          <t>No</t>
        </is>
      </c>
      <c r="O166" s="10" t="inlineStr">
        <is>
          <t>Yes</t>
        </is>
      </c>
      <c r="P166" s="10" t="inlineStr">
        <is>
          <t>Not started</t>
        </is>
      </c>
      <c r="Q166" s="10" t="inlineStr">
        <is>
          <t>Not started</t>
        </is>
      </c>
      <c r="R166" s="10" t="inlineStr"/>
      <c r="S166" s="10" t="inlineStr"/>
      <c r="T166" s="10" t="inlineStr"/>
      <c r="U166" s="10" t="n"/>
      <c r="V166" s="10">
        <f>IF(U166="","",IF(U166&gt;=70,"Pass","Hold"))</f>
        <v/>
      </c>
      <c r="W166" s="11" t="n">
        <v>46293</v>
      </c>
      <c r="X166" s="10" t="inlineStr">
        <is>
          <t>10:00 AM</t>
        </is>
      </c>
      <c r="Y166" s="10" t="inlineStr">
        <is>
          <t>Scheduled</t>
        </is>
      </c>
      <c r="Z166" s="11" t="n"/>
      <c r="AA166" s="10" t="inlineStr"/>
      <c r="AB166" s="10" t="inlineStr"/>
      <c r="AC166" s="10" t="n"/>
      <c r="AD166" s="10" t="n"/>
      <c r="AE166" s="10" t="n"/>
      <c r="AF166" s="10" t="n"/>
      <c r="AG166" s="10" t="n"/>
      <c r="AH166" s="10" t="n"/>
      <c r="AI166" s="10" t="n"/>
      <c r="AJ166" s="10" t="n"/>
      <c r="AK166" s="10" t="n"/>
      <c r="AL166" s="10" t="n"/>
      <c r="AM166" s="10" t="inlineStr">
        <is>
          <t>No</t>
        </is>
      </c>
      <c r="AN166" s="10" t="n"/>
      <c r="AO166" s="10" t="n"/>
      <c r="AP166" s="10">
        <f>IF(AND(AC166&lt;&gt;"",AO166&lt;&gt;"",AO166&gt;0),AC166/AO166,"")</f>
        <v/>
      </c>
      <c r="AQ166" s="10">
        <f>IF(AP166="","",IF(AP166&gt;=2,"A",IF(AP166&gt;=1.2,"B",IF(AP166&gt;=0.6,"C","D"))))</f>
        <v/>
      </c>
      <c r="AR166" s="10" t="inlineStr"/>
      <c r="AS166" s="11" t="inlineStr"/>
      <c r="AT166" s="10" t="inlineStr"/>
    </row>
    <row r="167">
      <c r="A167" s="10" t="inlineStr">
        <is>
          <t>W09-U1-X</t>
        </is>
      </c>
      <c r="B167" s="10" t="inlineStr">
        <is>
          <t>W09-U1</t>
        </is>
      </c>
      <c r="C167" s="10" t="n">
        <v>9</v>
      </c>
      <c r="D167" s="11" t="n">
        <v>46293</v>
      </c>
      <c r="E167" s="10" t="inlineStr">
        <is>
          <t>Monday</t>
        </is>
      </c>
      <c r="F167" s="10" t="inlineStr">
        <is>
          <t>Priya</t>
        </is>
      </c>
      <c r="G167" s="10" t="inlineStr">
        <is>
          <t>One system, every register, every location.</t>
        </is>
      </c>
      <c r="H167" s="10" t="inlineStr">
        <is>
          <t>Educate</t>
        </is>
      </c>
      <c r="I167" s="10" t="inlineStr">
        <is>
          <t>Text</t>
        </is>
      </c>
      <c r="J167" s="10" t="inlineStr">
        <is>
          <t>X</t>
        </is>
      </c>
      <c r="K167" s="10" t="inlineStr">
        <is>
          <t>Mirror</t>
        </is>
      </c>
      <c r="L167" s="10" t="inlineStr">
        <is>
          <t>Customer story: [Reference Merchant]</t>
        </is>
      </c>
      <c r="M167" s="10" t="inlineStr">
        <is>
          <t>Read more (link)</t>
        </is>
      </c>
      <c r="N167" s="10" t="inlineStr">
        <is>
          <t>No</t>
        </is>
      </c>
      <c r="O167" s="10" t="inlineStr">
        <is>
          <t>Yes</t>
        </is>
      </c>
      <c r="P167" s="10" t="inlineStr">
        <is>
          <t>Not started</t>
        </is>
      </c>
      <c r="Q167" s="10" t="inlineStr">
        <is>
          <t>Not started</t>
        </is>
      </c>
      <c r="R167" s="10" t="inlineStr"/>
      <c r="S167" s="10" t="inlineStr"/>
      <c r="T167" s="10" t="inlineStr"/>
      <c r="U167" s="10" t="n"/>
      <c r="V167" s="10">
        <f>IF(U167="","",IF(U167&gt;=70,"Pass","Hold"))</f>
        <v/>
      </c>
      <c r="W167" s="11" t="n">
        <v>46293</v>
      </c>
      <c r="X167" s="10" t="inlineStr">
        <is>
          <t>10:00 AM</t>
        </is>
      </c>
      <c r="Y167" s="10" t="inlineStr">
        <is>
          <t>Scheduled</t>
        </is>
      </c>
      <c r="Z167" s="11" t="n"/>
      <c r="AA167" s="10" t="inlineStr"/>
      <c r="AB167" s="10" t="inlineStr"/>
      <c r="AC167" s="10" t="n"/>
      <c r="AD167" s="10" t="n"/>
      <c r="AE167" s="10" t="n"/>
      <c r="AF167" s="10" t="n"/>
      <c r="AG167" s="10" t="n"/>
      <c r="AH167" s="10" t="n"/>
      <c r="AI167" s="10" t="n"/>
      <c r="AJ167" s="10" t="n"/>
      <c r="AK167" s="10" t="n"/>
      <c r="AL167" s="10" t="n"/>
      <c r="AM167" s="10" t="inlineStr">
        <is>
          <t>No</t>
        </is>
      </c>
      <c r="AN167" s="10" t="n"/>
      <c r="AO167" s="10" t="n"/>
      <c r="AP167" s="10">
        <f>IF(AND(AC167&lt;&gt;"",AO167&lt;&gt;"",AO167&gt;0),AC167/AO167,"")</f>
        <v/>
      </c>
      <c r="AQ167" s="10">
        <f>IF(AP167="","",IF(AP167&gt;=2,"A",IF(AP167&gt;=1.2,"B",IF(AP167&gt;=0.6,"C","D"))))</f>
        <v/>
      </c>
      <c r="AR167" s="10" t="inlineStr"/>
      <c r="AS167" s="11" t="inlineStr"/>
      <c r="AT167" s="10" t="inlineStr"/>
    </row>
    <row r="168">
      <c r="A168" s="10" t="inlineStr">
        <is>
          <t>W09-U2-IN</t>
        </is>
      </c>
      <c r="B168" s="10" t="inlineStr">
        <is>
          <t>W09-U2</t>
        </is>
      </c>
      <c r="C168" s="10" t="n">
        <v>9</v>
      </c>
      <c r="D168" s="11" t="n">
        <v>46294</v>
      </c>
      <c r="E168" s="10" t="inlineStr">
        <is>
          <t>Tuesday</t>
        </is>
      </c>
      <c r="F168" s="10" t="inlineStr">
        <is>
          <t>Priya</t>
        </is>
      </c>
      <c r="G168" s="10" t="inlineStr">
        <is>
          <t>Every case, every bottle, every SKU — accounted for.</t>
        </is>
      </c>
      <c r="H168" s="10" t="inlineStr">
        <is>
          <t>Educate</t>
        </is>
      </c>
      <c r="I168" s="10" t="inlineStr">
        <is>
          <t>Carousel</t>
        </is>
      </c>
      <c r="J168" s="10" t="inlineStr">
        <is>
          <t>Instagram</t>
        </is>
      </c>
      <c r="K168" s="10" t="inlineStr">
        <is>
          <t>Primary</t>
        </is>
      </c>
      <c r="L168" s="10" t="inlineStr">
        <is>
          <t>The numbers behind the story</t>
        </is>
      </c>
      <c r="M168" s="10" t="inlineStr">
        <is>
          <t>Book a demo</t>
        </is>
      </c>
      <c r="N168" s="10" t="inlineStr">
        <is>
          <t>No</t>
        </is>
      </c>
      <c r="O168" s="10" t="inlineStr">
        <is>
          <t>Yes</t>
        </is>
      </c>
      <c r="P168" s="10" t="inlineStr">
        <is>
          <t>Not started</t>
        </is>
      </c>
      <c r="Q168" s="10" t="inlineStr">
        <is>
          <t>Not started</t>
        </is>
      </c>
      <c r="R168" s="10" t="inlineStr"/>
      <c r="S168" s="10" t="inlineStr"/>
      <c r="T168" s="10" t="inlineStr"/>
      <c r="U168" s="10" t="n"/>
      <c r="V168" s="10">
        <f>IF(U168="","",IF(U168&gt;=70,"Pass","Hold"))</f>
        <v/>
      </c>
      <c r="W168" s="11" t="n">
        <v>46294</v>
      </c>
      <c r="X168" s="10" t="inlineStr">
        <is>
          <t>10:00 AM</t>
        </is>
      </c>
      <c r="Y168" s="10" t="inlineStr">
        <is>
          <t>Scheduled</t>
        </is>
      </c>
      <c r="Z168" s="11" t="n"/>
      <c r="AA168" s="10" t="inlineStr"/>
      <c r="AB168" s="10" t="inlineStr"/>
      <c r="AC168" s="10" t="n"/>
      <c r="AD168" s="10" t="n"/>
      <c r="AE168" s="10" t="n"/>
      <c r="AF168" s="10" t="n"/>
      <c r="AG168" s="10" t="n"/>
      <c r="AH168" s="10" t="n"/>
      <c r="AI168" s="10" t="n"/>
      <c r="AJ168" s="10" t="n"/>
      <c r="AK168" s="10" t="n"/>
      <c r="AL168" s="10" t="n"/>
      <c r="AM168" s="10" t="inlineStr">
        <is>
          <t>No</t>
        </is>
      </c>
      <c r="AN168" s="10" t="n"/>
      <c r="AO168" s="10" t="n"/>
      <c r="AP168" s="10">
        <f>IF(AND(AC168&lt;&gt;"",AO168&lt;&gt;"",AO168&gt;0),AC168/AO168,"")</f>
        <v/>
      </c>
      <c r="AQ168" s="10">
        <f>IF(AP168="","",IF(AP168&gt;=2,"A",IF(AP168&gt;=1.2,"B",IF(AP168&gt;=0.6,"C","D"))))</f>
        <v/>
      </c>
      <c r="AR168" s="10" t="inlineStr"/>
      <c r="AS168" s="11" t="inlineStr"/>
      <c r="AT168" s="10" t="inlineStr"/>
    </row>
    <row r="169">
      <c r="A169" s="10" t="inlineStr">
        <is>
          <t>W09-U2-FA</t>
        </is>
      </c>
      <c r="B169" s="10" t="inlineStr">
        <is>
          <t>W09-U2</t>
        </is>
      </c>
      <c r="C169" s="10" t="n">
        <v>9</v>
      </c>
      <c r="D169" s="11" t="n">
        <v>46294</v>
      </c>
      <c r="E169" s="10" t="inlineStr">
        <is>
          <t>Tuesday</t>
        </is>
      </c>
      <c r="F169" s="10" t="inlineStr">
        <is>
          <t>Priya</t>
        </is>
      </c>
      <c r="G169" s="10" t="inlineStr">
        <is>
          <t>Every case, every bottle, every SKU — accounted for.</t>
        </is>
      </c>
      <c r="H169" s="10" t="inlineStr">
        <is>
          <t>Educate</t>
        </is>
      </c>
      <c r="I169" s="10" t="inlineStr">
        <is>
          <t>Carousel</t>
        </is>
      </c>
      <c r="J169" s="10" t="inlineStr">
        <is>
          <t>Facebook</t>
        </is>
      </c>
      <c r="K169" s="10" t="inlineStr">
        <is>
          <t>Mirror</t>
        </is>
      </c>
      <c r="L169" s="10" t="inlineStr">
        <is>
          <t>The numbers behind the story</t>
        </is>
      </c>
      <c r="M169" s="10" t="inlineStr">
        <is>
          <t>Book a demo</t>
        </is>
      </c>
      <c r="N169" s="10" t="inlineStr">
        <is>
          <t>No</t>
        </is>
      </c>
      <c r="O169" s="10" t="inlineStr">
        <is>
          <t>Yes</t>
        </is>
      </c>
      <c r="P169" s="10" t="inlineStr">
        <is>
          <t>Not started</t>
        </is>
      </c>
      <c r="Q169" s="10" t="inlineStr">
        <is>
          <t>Not started</t>
        </is>
      </c>
      <c r="R169" s="10" t="inlineStr"/>
      <c r="S169" s="10" t="inlineStr"/>
      <c r="T169" s="10" t="inlineStr"/>
      <c r="U169" s="10" t="n"/>
      <c r="V169" s="10">
        <f>IF(U169="","",IF(U169&gt;=70,"Pass","Hold"))</f>
        <v/>
      </c>
      <c r="W169" s="11" t="n">
        <v>46294</v>
      </c>
      <c r="X169" s="10" t="inlineStr">
        <is>
          <t>10:00 AM</t>
        </is>
      </c>
      <c r="Y169" s="10" t="inlineStr">
        <is>
          <t>Scheduled</t>
        </is>
      </c>
      <c r="Z169" s="11" t="n"/>
      <c r="AA169" s="10" t="inlineStr"/>
      <c r="AB169" s="10" t="inlineStr"/>
      <c r="AC169" s="10" t="n"/>
      <c r="AD169" s="10" t="n"/>
      <c r="AE169" s="10" t="n"/>
      <c r="AF169" s="10" t="n"/>
      <c r="AG169" s="10" t="n"/>
      <c r="AH169" s="10" t="n"/>
      <c r="AI169" s="10" t="n"/>
      <c r="AJ169" s="10" t="n"/>
      <c r="AK169" s="10" t="n"/>
      <c r="AL169" s="10" t="n"/>
      <c r="AM169" s="10" t="inlineStr">
        <is>
          <t>No</t>
        </is>
      </c>
      <c r="AN169" s="10" t="n"/>
      <c r="AO169" s="10" t="n"/>
      <c r="AP169" s="10">
        <f>IF(AND(AC169&lt;&gt;"",AO169&lt;&gt;"",AO169&gt;0),AC169/AO169,"")</f>
        <v/>
      </c>
      <c r="AQ169" s="10">
        <f>IF(AP169="","",IF(AP169&gt;=2,"A",IF(AP169&gt;=1.2,"B",IF(AP169&gt;=0.6,"C","D"))))</f>
        <v/>
      </c>
      <c r="AR169" s="10" t="inlineStr"/>
      <c r="AS169" s="11" t="inlineStr"/>
      <c r="AT169" s="10" t="inlineStr"/>
    </row>
    <row r="170">
      <c r="A170" s="10" t="inlineStr">
        <is>
          <t>W09-U2-LI</t>
        </is>
      </c>
      <c r="B170" s="10" t="inlineStr">
        <is>
          <t>W09-U2</t>
        </is>
      </c>
      <c r="C170" s="10" t="n">
        <v>9</v>
      </c>
      <c r="D170" s="11" t="n">
        <v>46294</v>
      </c>
      <c r="E170" s="10" t="inlineStr">
        <is>
          <t>Tuesday</t>
        </is>
      </c>
      <c r="F170" s="10" t="inlineStr">
        <is>
          <t>Priya</t>
        </is>
      </c>
      <c r="G170" s="10" t="inlineStr">
        <is>
          <t>Every case, every bottle, every SKU — accounted for.</t>
        </is>
      </c>
      <c r="H170" s="10" t="inlineStr">
        <is>
          <t>Educate</t>
        </is>
      </c>
      <c r="I170" s="10" t="inlineStr">
        <is>
          <t>Carousel</t>
        </is>
      </c>
      <c r="J170" s="10" t="inlineStr">
        <is>
          <t>LinkedIn</t>
        </is>
      </c>
      <c r="K170" s="10" t="inlineStr">
        <is>
          <t>Adapted</t>
        </is>
      </c>
      <c r="L170" s="10" t="inlineStr">
        <is>
          <t>The numbers behind the story</t>
        </is>
      </c>
      <c r="M170" s="10" t="inlineStr">
        <is>
          <t>Book a demo</t>
        </is>
      </c>
      <c r="N170" s="10" t="inlineStr">
        <is>
          <t>No</t>
        </is>
      </c>
      <c r="O170" s="10" t="inlineStr">
        <is>
          <t>Yes</t>
        </is>
      </c>
      <c r="P170" s="10" t="inlineStr">
        <is>
          <t>Not started</t>
        </is>
      </c>
      <c r="Q170" s="10" t="inlineStr">
        <is>
          <t>Not started</t>
        </is>
      </c>
      <c r="R170" s="10" t="inlineStr"/>
      <c r="S170" s="10" t="inlineStr"/>
      <c r="T170" s="10" t="inlineStr"/>
      <c r="U170" s="10" t="n"/>
      <c r="V170" s="10">
        <f>IF(U170="","",IF(U170&gt;=70,"Pass","Hold"))</f>
        <v/>
      </c>
      <c r="W170" s="11" t="n">
        <v>46294</v>
      </c>
      <c r="X170" s="10" t="inlineStr">
        <is>
          <t>10:00 AM</t>
        </is>
      </c>
      <c r="Y170" s="10" t="inlineStr">
        <is>
          <t>Scheduled</t>
        </is>
      </c>
      <c r="Z170" s="11" t="n"/>
      <c r="AA170" s="10" t="inlineStr"/>
      <c r="AB170" s="10" t="inlineStr"/>
      <c r="AC170" s="10" t="n"/>
      <c r="AD170" s="10" t="n"/>
      <c r="AE170" s="10" t="n"/>
      <c r="AF170" s="10" t="n"/>
      <c r="AG170" s="10" t="n"/>
      <c r="AH170" s="10" t="n"/>
      <c r="AI170" s="10" t="n"/>
      <c r="AJ170" s="10" t="n"/>
      <c r="AK170" s="10" t="n"/>
      <c r="AL170" s="10" t="n"/>
      <c r="AM170" s="10" t="inlineStr">
        <is>
          <t>No</t>
        </is>
      </c>
      <c r="AN170" s="10" t="n"/>
      <c r="AO170" s="10" t="n"/>
      <c r="AP170" s="10">
        <f>IF(AND(AC170&lt;&gt;"",AO170&lt;&gt;"",AO170&gt;0),AC170/AO170,"")</f>
        <v/>
      </c>
      <c r="AQ170" s="10">
        <f>IF(AP170="","",IF(AP170&gt;=2,"A",IF(AP170&gt;=1.2,"B",IF(AP170&gt;=0.6,"C","D"))))</f>
        <v/>
      </c>
      <c r="AR170" s="10" t="inlineStr"/>
      <c r="AS170" s="11" t="inlineStr"/>
      <c r="AT170" s="10" t="inlineStr"/>
    </row>
    <row r="171">
      <c r="A171" s="10" t="inlineStr">
        <is>
          <t>W09-U3-TI</t>
        </is>
      </c>
      <c r="B171" s="10" t="inlineStr">
        <is>
          <t>W09-U3</t>
        </is>
      </c>
      <c r="C171" s="10" t="n">
        <v>9</v>
      </c>
      <c r="D171" s="11" t="n">
        <v>46295</v>
      </c>
      <c r="E171" s="10" t="inlineStr">
        <is>
          <t>Wednesday</t>
        </is>
      </c>
      <c r="F171" s="10" t="inlineStr">
        <is>
          <t>Priya</t>
        </is>
      </c>
      <c r="G171" s="10" t="inlineStr">
        <is>
          <t>Your regulars, remembered automatically.</t>
        </is>
      </c>
      <c r="H171" s="10" t="inlineStr">
        <is>
          <t>Inspire</t>
        </is>
      </c>
      <c r="I171" s="10" t="inlineStr">
        <is>
          <t>Video</t>
        </is>
      </c>
      <c r="J171" s="10" t="inlineStr">
        <is>
          <t>TikTok</t>
        </is>
      </c>
      <c r="K171" s="10" t="inlineStr">
        <is>
          <t>Primary</t>
        </is>
      </c>
      <c r="L171" s="10" t="inlineStr">
        <is>
          <t>In their own words</t>
        </is>
      </c>
      <c r="M171" s="10" t="inlineStr">
        <is>
          <t>Book a demo</t>
        </is>
      </c>
      <c r="N171" s="10" t="inlineStr">
        <is>
          <t>No</t>
        </is>
      </c>
      <c r="O171" s="10" t="inlineStr">
        <is>
          <t>Yes</t>
        </is>
      </c>
      <c r="P171" s="10" t="inlineStr">
        <is>
          <t>Not started</t>
        </is>
      </c>
      <c r="Q171" s="10" t="inlineStr">
        <is>
          <t>Not started</t>
        </is>
      </c>
      <c r="R171" s="10" t="inlineStr"/>
      <c r="S171" s="10" t="inlineStr"/>
      <c r="T171" s="10" t="inlineStr"/>
      <c r="U171" s="10" t="n"/>
      <c r="V171" s="10">
        <f>IF(U171="","",IF(U171&gt;=70,"Pass","Hold"))</f>
        <v/>
      </c>
      <c r="W171" s="11" t="n">
        <v>46295</v>
      </c>
      <c r="X171" s="10" t="inlineStr">
        <is>
          <t>10:00 AM</t>
        </is>
      </c>
      <c r="Y171" s="10" t="inlineStr">
        <is>
          <t>Scheduled</t>
        </is>
      </c>
      <c r="Z171" s="11" t="n"/>
      <c r="AA171" s="10" t="inlineStr"/>
      <c r="AB171" s="10" t="inlineStr"/>
      <c r="AC171" s="10" t="n"/>
      <c r="AD171" s="10" t="n"/>
      <c r="AE171" s="10" t="n"/>
      <c r="AF171" s="10" t="n"/>
      <c r="AG171" s="10" t="n"/>
      <c r="AH171" s="10" t="n"/>
      <c r="AI171" s="10" t="n"/>
      <c r="AJ171" s="10" t="n"/>
      <c r="AK171" s="10" t="n"/>
      <c r="AL171" s="10" t="n"/>
      <c r="AM171" s="10" t="inlineStr">
        <is>
          <t>No</t>
        </is>
      </c>
      <c r="AN171" s="10" t="n"/>
      <c r="AO171" s="10" t="n"/>
      <c r="AP171" s="10">
        <f>IF(AND(AC171&lt;&gt;"",AO171&lt;&gt;"",AO171&gt;0),AC171/AO171,"")</f>
        <v/>
      </c>
      <c r="AQ171" s="10">
        <f>IF(AP171="","",IF(AP171&gt;=2,"A",IF(AP171&gt;=1.2,"B",IF(AP171&gt;=0.6,"C","D"))))</f>
        <v/>
      </c>
      <c r="AR171" s="10" t="inlineStr"/>
      <c r="AS171" s="11" t="inlineStr"/>
      <c r="AT171" s="10" t="inlineStr"/>
    </row>
    <row r="172">
      <c r="A172" s="10" t="inlineStr">
        <is>
          <t>W09-U3-IN</t>
        </is>
      </c>
      <c r="B172" s="10" t="inlineStr">
        <is>
          <t>W09-U3</t>
        </is>
      </c>
      <c r="C172" s="10" t="n">
        <v>9</v>
      </c>
      <c r="D172" s="11" t="n">
        <v>46295</v>
      </c>
      <c r="E172" s="10" t="inlineStr">
        <is>
          <t>Wednesday</t>
        </is>
      </c>
      <c r="F172" s="10" t="inlineStr">
        <is>
          <t>Priya</t>
        </is>
      </c>
      <c r="G172" s="10" t="inlineStr">
        <is>
          <t>Your regulars, remembered automatically.</t>
        </is>
      </c>
      <c r="H172" s="10" t="inlineStr">
        <is>
          <t>Inspire</t>
        </is>
      </c>
      <c r="I172" s="10" t="inlineStr">
        <is>
          <t>Video</t>
        </is>
      </c>
      <c r="J172" s="10" t="inlineStr">
        <is>
          <t>Instagram</t>
        </is>
      </c>
      <c r="K172" s="10" t="inlineStr">
        <is>
          <t>Mirror</t>
        </is>
      </c>
      <c r="L172" s="10" t="inlineStr">
        <is>
          <t>In their own words</t>
        </is>
      </c>
      <c r="M172" s="10" t="inlineStr">
        <is>
          <t>Book a demo</t>
        </is>
      </c>
      <c r="N172" s="10" t="inlineStr">
        <is>
          <t>No</t>
        </is>
      </c>
      <c r="O172" s="10" t="inlineStr">
        <is>
          <t>Yes</t>
        </is>
      </c>
      <c r="P172" s="10" t="inlineStr">
        <is>
          <t>Not started</t>
        </is>
      </c>
      <c r="Q172" s="10" t="inlineStr">
        <is>
          <t>Not started</t>
        </is>
      </c>
      <c r="R172" s="10" t="inlineStr"/>
      <c r="S172" s="10" t="inlineStr"/>
      <c r="T172" s="10" t="inlineStr"/>
      <c r="U172" s="10" t="n"/>
      <c r="V172" s="10">
        <f>IF(U172="","",IF(U172&gt;=70,"Pass","Hold"))</f>
        <v/>
      </c>
      <c r="W172" s="11" t="n">
        <v>46295</v>
      </c>
      <c r="X172" s="10" t="inlineStr">
        <is>
          <t>10:00 AM</t>
        </is>
      </c>
      <c r="Y172" s="10" t="inlineStr">
        <is>
          <t>Scheduled</t>
        </is>
      </c>
      <c r="Z172" s="11" t="n"/>
      <c r="AA172" s="10" t="inlineStr"/>
      <c r="AB172" s="10" t="inlineStr"/>
      <c r="AC172" s="10" t="n"/>
      <c r="AD172" s="10" t="n"/>
      <c r="AE172" s="10" t="n"/>
      <c r="AF172" s="10" t="n"/>
      <c r="AG172" s="10" t="n"/>
      <c r="AH172" s="10" t="n"/>
      <c r="AI172" s="10" t="n"/>
      <c r="AJ172" s="10" t="n"/>
      <c r="AK172" s="10" t="n"/>
      <c r="AL172" s="10" t="n"/>
      <c r="AM172" s="10" t="inlineStr">
        <is>
          <t>No</t>
        </is>
      </c>
      <c r="AN172" s="10" t="n"/>
      <c r="AO172" s="10" t="n"/>
      <c r="AP172" s="10">
        <f>IF(AND(AC172&lt;&gt;"",AO172&lt;&gt;"",AO172&gt;0),AC172/AO172,"")</f>
        <v/>
      </c>
      <c r="AQ172" s="10">
        <f>IF(AP172="","",IF(AP172&gt;=2,"A",IF(AP172&gt;=1.2,"B",IF(AP172&gt;=0.6,"C","D"))))</f>
        <v/>
      </c>
      <c r="AR172" s="10" t="inlineStr"/>
      <c r="AS172" s="11" t="inlineStr"/>
      <c r="AT172" s="10" t="inlineStr"/>
    </row>
    <row r="173">
      <c r="A173" s="10" t="inlineStr">
        <is>
          <t>W09-U4-LI</t>
        </is>
      </c>
      <c r="B173" s="10" t="inlineStr">
        <is>
          <t>W09-U4</t>
        </is>
      </c>
      <c r="C173" s="10" t="n">
        <v>9</v>
      </c>
      <c r="D173" s="11" t="n">
        <v>46296</v>
      </c>
      <c r="E173" s="10" t="inlineStr">
        <is>
          <t>Thursday</t>
        </is>
      </c>
      <c r="F173" s="10" t="inlineStr">
        <is>
          <t>Priya</t>
        </is>
      </c>
      <c r="G173" s="10" t="inlineStr">
        <is>
          <t>One system, every register, every location.</t>
        </is>
      </c>
      <c r="H173" s="10" t="inlineStr">
        <is>
          <t>Engage</t>
        </is>
      </c>
      <c r="I173" s="10" t="inlineStr">
        <is>
          <t>Static</t>
        </is>
      </c>
      <c r="J173" s="10" t="inlineStr">
        <is>
          <t>LinkedIn</t>
        </is>
      </c>
      <c r="K173" s="10" t="inlineStr">
        <is>
          <t>Primary</t>
        </is>
      </c>
      <c r="L173" s="10" t="inlineStr">
        <is>
          <t>Growing past what one store's tools can handle</t>
        </is>
      </c>
      <c r="M173" s="10" t="inlineStr">
        <is>
          <t>Book a demo</t>
        </is>
      </c>
      <c r="N173" s="10" t="inlineStr">
        <is>
          <t>No</t>
        </is>
      </c>
      <c r="O173" s="10" t="inlineStr">
        <is>
          <t>No</t>
        </is>
      </c>
      <c r="P173" s="10" t="inlineStr">
        <is>
          <t>Not started</t>
        </is>
      </c>
      <c r="Q173" s="10" t="inlineStr">
        <is>
          <t>Not started</t>
        </is>
      </c>
      <c r="R173" s="10" t="inlineStr"/>
      <c r="S173" s="10" t="inlineStr"/>
      <c r="T173" s="10" t="inlineStr"/>
      <c r="U173" s="10" t="n"/>
      <c r="V173" s="10">
        <f>IF(U173="","",IF(U173&gt;=70,"Pass","Hold"))</f>
        <v/>
      </c>
      <c r="W173" s="11" t="n">
        <v>46296</v>
      </c>
      <c r="X173" s="10" t="inlineStr">
        <is>
          <t>10:00 AM</t>
        </is>
      </c>
      <c r="Y173" s="10" t="inlineStr">
        <is>
          <t>Scheduled</t>
        </is>
      </c>
      <c r="Z173" s="11" t="n"/>
      <c r="AA173" s="10" t="inlineStr"/>
      <c r="AB173" s="10" t="inlineStr"/>
      <c r="AC173" s="10" t="n"/>
      <c r="AD173" s="10" t="n"/>
      <c r="AE173" s="10" t="n"/>
      <c r="AF173" s="10" t="n"/>
      <c r="AG173" s="10" t="n"/>
      <c r="AH173" s="10" t="n"/>
      <c r="AI173" s="10" t="n"/>
      <c r="AJ173" s="10" t="n"/>
      <c r="AK173" s="10" t="n"/>
      <c r="AL173" s="10" t="n"/>
      <c r="AM173" s="10" t="inlineStr">
        <is>
          <t>No</t>
        </is>
      </c>
      <c r="AN173" s="10" t="n"/>
      <c r="AO173" s="10" t="n"/>
      <c r="AP173" s="10">
        <f>IF(AND(AC173&lt;&gt;"",AO173&lt;&gt;"",AO173&gt;0),AC173/AO173,"")</f>
        <v/>
      </c>
      <c r="AQ173" s="10">
        <f>IF(AP173="","",IF(AP173&gt;=2,"A",IF(AP173&gt;=1.2,"B",IF(AP173&gt;=0.6,"C","D"))))</f>
        <v/>
      </c>
      <c r="AR173" s="10" t="inlineStr"/>
      <c r="AS173" s="11" t="inlineStr"/>
      <c r="AT173" s="10" t="inlineStr"/>
    </row>
    <row r="174">
      <c r="A174" s="10" t="inlineStr">
        <is>
          <t>W09-U4-FA</t>
        </is>
      </c>
      <c r="B174" s="10" t="inlineStr">
        <is>
          <t>W09-U4</t>
        </is>
      </c>
      <c r="C174" s="10" t="n">
        <v>9</v>
      </c>
      <c r="D174" s="11" t="n">
        <v>46296</v>
      </c>
      <c r="E174" s="10" t="inlineStr">
        <is>
          <t>Thursday</t>
        </is>
      </c>
      <c r="F174" s="10" t="inlineStr">
        <is>
          <t>Priya</t>
        </is>
      </c>
      <c r="G174" s="10" t="inlineStr">
        <is>
          <t>One system, every register, every location.</t>
        </is>
      </c>
      <c r="H174" s="10" t="inlineStr">
        <is>
          <t>Engage</t>
        </is>
      </c>
      <c r="I174" s="10" t="inlineStr">
        <is>
          <t>Static</t>
        </is>
      </c>
      <c r="J174" s="10" t="inlineStr">
        <is>
          <t>Facebook</t>
        </is>
      </c>
      <c r="K174" s="10" t="inlineStr">
        <is>
          <t>Mirror</t>
        </is>
      </c>
      <c r="L174" s="10" t="inlineStr">
        <is>
          <t>Growing past what one store's tools can handle</t>
        </is>
      </c>
      <c r="M174" s="10" t="inlineStr">
        <is>
          <t>Book a demo</t>
        </is>
      </c>
      <c r="N174" s="10" t="inlineStr">
        <is>
          <t>No</t>
        </is>
      </c>
      <c r="O174" s="10" t="inlineStr">
        <is>
          <t>No</t>
        </is>
      </c>
      <c r="P174" s="10" t="inlineStr">
        <is>
          <t>Not started</t>
        </is>
      </c>
      <c r="Q174" s="10" t="inlineStr">
        <is>
          <t>Not started</t>
        </is>
      </c>
      <c r="R174" s="10" t="inlineStr"/>
      <c r="S174" s="10" t="inlineStr"/>
      <c r="T174" s="10" t="inlineStr"/>
      <c r="U174" s="10" t="n"/>
      <c r="V174" s="10">
        <f>IF(U174="","",IF(U174&gt;=70,"Pass","Hold"))</f>
        <v/>
      </c>
      <c r="W174" s="11" t="n">
        <v>46296</v>
      </c>
      <c r="X174" s="10" t="inlineStr">
        <is>
          <t>10:00 AM</t>
        </is>
      </c>
      <c r="Y174" s="10" t="inlineStr">
        <is>
          <t>Scheduled</t>
        </is>
      </c>
      <c r="Z174" s="11" t="n"/>
      <c r="AA174" s="10" t="inlineStr"/>
      <c r="AB174" s="10" t="inlineStr"/>
      <c r="AC174" s="10" t="n"/>
      <c r="AD174" s="10" t="n"/>
      <c r="AE174" s="10" t="n"/>
      <c r="AF174" s="10" t="n"/>
      <c r="AG174" s="10" t="n"/>
      <c r="AH174" s="10" t="n"/>
      <c r="AI174" s="10" t="n"/>
      <c r="AJ174" s="10" t="n"/>
      <c r="AK174" s="10" t="n"/>
      <c r="AL174" s="10" t="n"/>
      <c r="AM174" s="10" t="inlineStr">
        <is>
          <t>No</t>
        </is>
      </c>
      <c r="AN174" s="10" t="n"/>
      <c r="AO174" s="10" t="n"/>
      <c r="AP174" s="10">
        <f>IF(AND(AC174&lt;&gt;"",AO174&lt;&gt;"",AO174&gt;0),AC174/AO174,"")</f>
        <v/>
      </c>
      <c r="AQ174" s="10">
        <f>IF(AP174="","",IF(AP174&gt;=2,"A",IF(AP174&gt;=1.2,"B",IF(AP174&gt;=0.6,"C","D"))))</f>
        <v/>
      </c>
      <c r="AR174" s="10" t="inlineStr"/>
      <c r="AS174" s="11" t="inlineStr"/>
      <c r="AT174" s="10" t="inlineStr"/>
    </row>
    <row r="175">
      <c r="A175" s="10" t="inlineStr">
        <is>
          <t>W09-U4-IN</t>
        </is>
      </c>
      <c r="B175" s="10" t="inlineStr">
        <is>
          <t>W09-U4</t>
        </is>
      </c>
      <c r="C175" s="10" t="n">
        <v>9</v>
      </c>
      <c r="D175" s="11" t="n">
        <v>46296</v>
      </c>
      <c r="E175" s="10" t="inlineStr">
        <is>
          <t>Thursday</t>
        </is>
      </c>
      <c r="F175" s="10" t="inlineStr">
        <is>
          <t>Priya</t>
        </is>
      </c>
      <c r="G175" s="10" t="inlineStr">
        <is>
          <t>One system, every register, every location.</t>
        </is>
      </c>
      <c r="H175" s="10" t="inlineStr">
        <is>
          <t>Engage</t>
        </is>
      </c>
      <c r="I175" s="10" t="inlineStr">
        <is>
          <t>Static</t>
        </is>
      </c>
      <c r="J175" s="10" t="inlineStr">
        <is>
          <t>Instagram</t>
        </is>
      </c>
      <c r="K175" s="10" t="inlineStr">
        <is>
          <t>Adapted</t>
        </is>
      </c>
      <c r="L175" s="10" t="inlineStr">
        <is>
          <t>Growing past what one store's tools can handle</t>
        </is>
      </c>
      <c r="M175" s="10" t="inlineStr">
        <is>
          <t>Book a demo</t>
        </is>
      </c>
      <c r="N175" s="10" t="inlineStr">
        <is>
          <t>No</t>
        </is>
      </c>
      <c r="O175" s="10" t="inlineStr">
        <is>
          <t>No</t>
        </is>
      </c>
      <c r="P175" s="10" t="inlineStr">
        <is>
          <t>Not started</t>
        </is>
      </c>
      <c r="Q175" s="10" t="inlineStr">
        <is>
          <t>Not started</t>
        </is>
      </c>
      <c r="R175" s="10" t="inlineStr"/>
      <c r="S175" s="10" t="inlineStr"/>
      <c r="T175" s="10" t="inlineStr"/>
      <c r="U175" s="10" t="n"/>
      <c r="V175" s="10">
        <f>IF(U175="","",IF(U175&gt;=70,"Pass","Hold"))</f>
        <v/>
      </c>
      <c r="W175" s="11" t="n">
        <v>46296</v>
      </c>
      <c r="X175" s="10" t="inlineStr">
        <is>
          <t>10:00 AM</t>
        </is>
      </c>
      <c r="Y175" s="10" t="inlineStr">
        <is>
          <t>Scheduled</t>
        </is>
      </c>
      <c r="Z175" s="11" t="n"/>
      <c r="AA175" s="10" t="inlineStr"/>
      <c r="AB175" s="10" t="inlineStr"/>
      <c r="AC175" s="10" t="n"/>
      <c r="AD175" s="10" t="n"/>
      <c r="AE175" s="10" t="n"/>
      <c r="AF175" s="10" t="n"/>
      <c r="AG175" s="10" t="n"/>
      <c r="AH175" s="10" t="n"/>
      <c r="AI175" s="10" t="n"/>
      <c r="AJ175" s="10" t="n"/>
      <c r="AK175" s="10" t="n"/>
      <c r="AL175" s="10" t="n"/>
      <c r="AM175" s="10" t="inlineStr">
        <is>
          <t>No</t>
        </is>
      </c>
      <c r="AN175" s="10" t="n"/>
      <c r="AO175" s="10" t="n"/>
      <c r="AP175" s="10">
        <f>IF(AND(AC175&lt;&gt;"",AO175&lt;&gt;"",AO175&gt;0),AC175/AO175,"")</f>
        <v/>
      </c>
      <c r="AQ175" s="10">
        <f>IF(AP175="","",IF(AP175&gt;=2,"A",IF(AP175&gt;=1.2,"B",IF(AP175&gt;=0.6,"C","D"))))</f>
        <v/>
      </c>
      <c r="AR175" s="10" t="inlineStr"/>
      <c r="AS175" s="11" t="inlineStr"/>
      <c r="AT175" s="10" t="inlineStr"/>
    </row>
    <row r="176">
      <c r="A176" s="10" t="inlineStr">
        <is>
          <t>W09-U5-IN</t>
        </is>
      </c>
      <c r="B176" s="10" t="inlineStr">
        <is>
          <t>W09-U5</t>
        </is>
      </c>
      <c r="C176" s="10" t="n">
        <v>9</v>
      </c>
      <c r="D176" s="11" t="n">
        <v>46297</v>
      </c>
      <c r="E176" s="10" t="inlineStr">
        <is>
          <t>Friday</t>
        </is>
      </c>
      <c r="F176" s="10" t="inlineStr">
        <is>
          <t>Priya</t>
        </is>
      </c>
      <c r="G176" s="10" t="inlineStr">
        <is>
          <t>One system, every register, every location.</t>
        </is>
      </c>
      <c r="H176" s="10" t="inlineStr">
        <is>
          <t>Engage</t>
        </is>
      </c>
      <c r="I176" s="10" t="inlineStr">
        <is>
          <t>Text</t>
        </is>
      </c>
      <c r="J176" s="10" t="inlineStr">
        <is>
          <t>Instagram</t>
        </is>
      </c>
      <c r="K176" s="10" t="inlineStr">
        <is>
          <t>Primary</t>
        </is>
      </c>
      <c r="L176" s="10" t="inlineStr">
        <is>
          <t>What convinced you to switch?</t>
        </is>
      </c>
      <c r="M176" s="10" t="inlineStr">
        <is>
          <t>Engage (vote)</t>
        </is>
      </c>
      <c r="N176" s="10" t="inlineStr">
        <is>
          <t>No</t>
        </is>
      </c>
      <c r="O176" s="10" t="inlineStr">
        <is>
          <t>No</t>
        </is>
      </c>
      <c r="P176" s="10" t="inlineStr">
        <is>
          <t>Not started</t>
        </is>
      </c>
      <c r="Q176" s="10" t="inlineStr">
        <is>
          <t>Not started</t>
        </is>
      </c>
      <c r="R176" s="10" t="inlineStr"/>
      <c r="S176" s="10" t="inlineStr"/>
      <c r="T176" s="10" t="inlineStr"/>
      <c r="U176" s="10" t="n"/>
      <c r="V176" s="10">
        <f>IF(U176="","",IF(U176&gt;=70,"Pass","Hold"))</f>
        <v/>
      </c>
      <c r="W176" s="11" t="n">
        <v>46297</v>
      </c>
      <c r="X176" s="10" t="inlineStr">
        <is>
          <t>10:00 AM</t>
        </is>
      </c>
      <c r="Y176" s="10" t="inlineStr">
        <is>
          <t>Scheduled</t>
        </is>
      </c>
      <c r="Z176" s="11" t="n"/>
      <c r="AA176" s="10" t="inlineStr"/>
      <c r="AB176" s="10" t="inlineStr"/>
      <c r="AC176" s="10" t="n"/>
      <c r="AD176" s="10" t="n"/>
      <c r="AE176" s="10" t="n"/>
      <c r="AF176" s="10" t="n"/>
      <c r="AG176" s="10" t="n"/>
      <c r="AH176" s="10" t="n"/>
      <c r="AI176" s="10" t="n"/>
      <c r="AJ176" s="10" t="n"/>
      <c r="AK176" s="10" t="n"/>
      <c r="AL176" s="10" t="n"/>
      <c r="AM176" s="10" t="inlineStr">
        <is>
          <t>No</t>
        </is>
      </c>
      <c r="AN176" s="10" t="n"/>
      <c r="AO176" s="10" t="n"/>
      <c r="AP176" s="10">
        <f>IF(AND(AC176&lt;&gt;"",AO176&lt;&gt;"",AO176&gt;0),AC176/AO176,"")</f>
        <v/>
      </c>
      <c r="AQ176" s="10">
        <f>IF(AP176="","",IF(AP176&gt;=2,"A",IF(AP176&gt;=1.2,"B",IF(AP176&gt;=0.6,"C","D"))))</f>
        <v/>
      </c>
      <c r="AR176" s="10" t="inlineStr"/>
      <c r="AS176" s="11" t="inlineStr"/>
      <c r="AT176" s="10" t="inlineStr"/>
    </row>
    <row r="177">
      <c r="A177" s="10" t="inlineStr">
        <is>
          <t>W09-U5-LI</t>
        </is>
      </c>
      <c r="B177" s="10" t="inlineStr">
        <is>
          <t>W09-U5</t>
        </is>
      </c>
      <c r="C177" s="10" t="n">
        <v>9</v>
      </c>
      <c r="D177" s="11" t="n">
        <v>46297</v>
      </c>
      <c r="E177" s="10" t="inlineStr">
        <is>
          <t>Friday</t>
        </is>
      </c>
      <c r="F177" s="10" t="inlineStr">
        <is>
          <t>Priya</t>
        </is>
      </c>
      <c r="G177" s="10" t="inlineStr">
        <is>
          <t>One system, every register, every location.</t>
        </is>
      </c>
      <c r="H177" s="10" t="inlineStr">
        <is>
          <t>Engage</t>
        </is>
      </c>
      <c r="I177" s="10" t="inlineStr">
        <is>
          <t>Text</t>
        </is>
      </c>
      <c r="J177" s="10" t="inlineStr">
        <is>
          <t>LinkedIn</t>
        </is>
      </c>
      <c r="K177" s="10" t="inlineStr">
        <is>
          <t>Adapted</t>
        </is>
      </c>
      <c r="L177" s="10" t="inlineStr">
        <is>
          <t>What convinced you to switch?</t>
        </is>
      </c>
      <c r="M177" s="10" t="inlineStr">
        <is>
          <t>Engage (vote)</t>
        </is>
      </c>
      <c r="N177" s="10" t="inlineStr">
        <is>
          <t>No</t>
        </is>
      </c>
      <c r="O177" s="10" t="inlineStr">
        <is>
          <t>No</t>
        </is>
      </c>
      <c r="P177" s="10" t="inlineStr">
        <is>
          <t>Not started</t>
        </is>
      </c>
      <c r="Q177" s="10" t="inlineStr">
        <is>
          <t>Not started</t>
        </is>
      </c>
      <c r="R177" s="10" t="inlineStr"/>
      <c r="S177" s="10" t="inlineStr"/>
      <c r="T177" s="10" t="inlineStr"/>
      <c r="U177" s="10" t="n"/>
      <c r="V177" s="10">
        <f>IF(U177="","",IF(U177&gt;=70,"Pass","Hold"))</f>
        <v/>
      </c>
      <c r="W177" s="11" t="n">
        <v>46297</v>
      </c>
      <c r="X177" s="10" t="inlineStr">
        <is>
          <t>10:00 AM</t>
        </is>
      </c>
      <c r="Y177" s="10" t="inlineStr">
        <is>
          <t>Scheduled</t>
        </is>
      </c>
      <c r="Z177" s="11" t="n"/>
      <c r="AA177" s="10" t="inlineStr"/>
      <c r="AB177" s="10" t="inlineStr"/>
      <c r="AC177" s="10" t="n"/>
      <c r="AD177" s="10" t="n"/>
      <c r="AE177" s="10" t="n"/>
      <c r="AF177" s="10" t="n"/>
      <c r="AG177" s="10" t="n"/>
      <c r="AH177" s="10" t="n"/>
      <c r="AI177" s="10" t="n"/>
      <c r="AJ177" s="10" t="n"/>
      <c r="AK177" s="10" t="n"/>
      <c r="AL177" s="10" t="n"/>
      <c r="AM177" s="10" t="inlineStr">
        <is>
          <t>No</t>
        </is>
      </c>
      <c r="AN177" s="10" t="n"/>
      <c r="AO177" s="10" t="n"/>
      <c r="AP177" s="10">
        <f>IF(AND(AC177&lt;&gt;"",AO177&lt;&gt;"",AO177&gt;0),AC177/AO177,"")</f>
        <v/>
      </c>
      <c r="AQ177" s="10">
        <f>IF(AP177="","",IF(AP177&gt;=2,"A",IF(AP177&gt;=1.2,"B",IF(AP177&gt;=0.6,"C","D"))))</f>
        <v/>
      </c>
      <c r="AR177" s="10" t="inlineStr"/>
      <c r="AS177" s="11" t="inlineStr"/>
      <c r="AT177" s="10" t="inlineStr"/>
    </row>
    <row r="178">
      <c r="A178" s="10" t="inlineStr">
        <is>
          <t>W09-U6-IN</t>
        </is>
      </c>
      <c r="B178" s="10" t="inlineStr">
        <is>
          <t>W09-U6</t>
        </is>
      </c>
      <c r="C178" s="10" t="n">
        <v>9</v>
      </c>
      <c r="D178" s="11" t="n">
        <v>46298</v>
      </c>
      <c r="E178" s="10" t="inlineStr">
        <is>
          <t>Saturday</t>
        </is>
      </c>
      <c r="F178" s="10" t="inlineStr">
        <is>
          <t>Priya</t>
        </is>
      </c>
      <c r="G178" s="10" t="inlineStr">
        <is>
          <t>Your regulars, remembered automatically.</t>
        </is>
      </c>
      <c r="H178" s="10" t="inlineStr">
        <is>
          <t>Inspire</t>
        </is>
      </c>
      <c r="I178" s="10" t="inlineStr">
        <is>
          <t>Static</t>
        </is>
      </c>
      <c r="J178" s="10" t="inlineStr">
        <is>
          <t>Instagram</t>
        </is>
      </c>
      <c r="K178" s="10" t="inlineStr">
        <is>
          <t>Primary</t>
        </is>
      </c>
      <c r="L178" s="10" t="inlineStr">
        <is>
          <t>A merchant's own words (quote card)</t>
        </is>
      </c>
      <c r="M178" s="10" t="inlineStr">
        <is>
          <t>Book a demo</t>
        </is>
      </c>
      <c r="N178" s="10" t="inlineStr">
        <is>
          <t>No</t>
        </is>
      </c>
      <c r="O178" s="10" t="inlineStr">
        <is>
          <t>Yes</t>
        </is>
      </c>
      <c r="P178" s="10" t="inlineStr">
        <is>
          <t>Not started</t>
        </is>
      </c>
      <c r="Q178" s="10" t="inlineStr">
        <is>
          <t>Not started</t>
        </is>
      </c>
      <c r="R178" s="10" t="inlineStr"/>
      <c r="S178" s="10" t="inlineStr"/>
      <c r="T178" s="10" t="inlineStr"/>
      <c r="U178" s="10" t="n"/>
      <c r="V178" s="10">
        <f>IF(U178="","",IF(U178&gt;=70,"Pass","Hold"))</f>
        <v/>
      </c>
      <c r="W178" s="11" t="n">
        <v>46298</v>
      </c>
      <c r="X178" s="10" t="inlineStr">
        <is>
          <t>10:00 AM</t>
        </is>
      </c>
      <c r="Y178" s="10" t="inlineStr">
        <is>
          <t>Scheduled</t>
        </is>
      </c>
      <c r="Z178" s="11" t="n"/>
      <c r="AA178" s="10" t="inlineStr"/>
      <c r="AB178" s="10" t="inlineStr"/>
      <c r="AC178" s="10" t="n"/>
      <c r="AD178" s="10" t="n"/>
      <c r="AE178" s="10" t="n"/>
      <c r="AF178" s="10" t="n"/>
      <c r="AG178" s="10" t="n"/>
      <c r="AH178" s="10" t="n"/>
      <c r="AI178" s="10" t="n"/>
      <c r="AJ178" s="10" t="n"/>
      <c r="AK178" s="10" t="n"/>
      <c r="AL178" s="10" t="n"/>
      <c r="AM178" s="10" t="inlineStr">
        <is>
          <t>No</t>
        </is>
      </c>
      <c r="AN178" s="10" t="n"/>
      <c r="AO178" s="10" t="n"/>
      <c r="AP178" s="10">
        <f>IF(AND(AC178&lt;&gt;"",AO178&lt;&gt;"",AO178&gt;0),AC178/AO178,"")</f>
        <v/>
      </c>
      <c r="AQ178" s="10">
        <f>IF(AP178="","",IF(AP178&gt;=2,"A",IF(AP178&gt;=1.2,"B",IF(AP178&gt;=0.6,"C","D"))))</f>
        <v/>
      </c>
      <c r="AR178" s="10" t="inlineStr"/>
      <c r="AS178" s="11" t="inlineStr"/>
      <c r="AT178" s="10" t="inlineStr"/>
    </row>
    <row r="179">
      <c r="A179" s="10" t="inlineStr">
        <is>
          <t>W09-U6-FA</t>
        </is>
      </c>
      <c r="B179" s="10" t="inlineStr">
        <is>
          <t>W09-U6</t>
        </is>
      </c>
      <c r="C179" s="10" t="n">
        <v>9</v>
      </c>
      <c r="D179" s="11" t="n">
        <v>46298</v>
      </c>
      <c r="E179" s="10" t="inlineStr">
        <is>
          <t>Saturday</t>
        </is>
      </c>
      <c r="F179" s="10" t="inlineStr">
        <is>
          <t>Priya</t>
        </is>
      </c>
      <c r="G179" s="10" t="inlineStr">
        <is>
          <t>Your regulars, remembered automatically.</t>
        </is>
      </c>
      <c r="H179" s="10" t="inlineStr">
        <is>
          <t>Inspire</t>
        </is>
      </c>
      <c r="I179" s="10" t="inlineStr">
        <is>
          <t>Static</t>
        </is>
      </c>
      <c r="J179" s="10" t="inlineStr">
        <is>
          <t>Facebook</t>
        </is>
      </c>
      <c r="K179" s="10" t="inlineStr">
        <is>
          <t>Mirror</t>
        </is>
      </c>
      <c r="L179" s="10" t="inlineStr">
        <is>
          <t>A merchant's own words (quote card)</t>
        </is>
      </c>
      <c r="M179" s="10" t="inlineStr">
        <is>
          <t>Book a demo</t>
        </is>
      </c>
      <c r="N179" s="10" t="inlineStr">
        <is>
          <t>No</t>
        </is>
      </c>
      <c r="O179" s="10" t="inlineStr">
        <is>
          <t>Yes</t>
        </is>
      </c>
      <c r="P179" s="10" t="inlineStr">
        <is>
          <t>Not started</t>
        </is>
      </c>
      <c r="Q179" s="10" t="inlineStr">
        <is>
          <t>Not started</t>
        </is>
      </c>
      <c r="R179" s="10" t="inlineStr"/>
      <c r="S179" s="10" t="inlineStr"/>
      <c r="T179" s="10" t="inlineStr"/>
      <c r="U179" s="10" t="n"/>
      <c r="V179" s="10">
        <f>IF(U179="","",IF(U179&gt;=70,"Pass","Hold"))</f>
        <v/>
      </c>
      <c r="W179" s="11" t="n">
        <v>46298</v>
      </c>
      <c r="X179" s="10" t="inlineStr">
        <is>
          <t>10:00 AM</t>
        </is>
      </c>
      <c r="Y179" s="10" t="inlineStr">
        <is>
          <t>Scheduled</t>
        </is>
      </c>
      <c r="Z179" s="11" t="n"/>
      <c r="AA179" s="10" t="inlineStr"/>
      <c r="AB179" s="10" t="inlineStr"/>
      <c r="AC179" s="10" t="n"/>
      <c r="AD179" s="10" t="n"/>
      <c r="AE179" s="10" t="n"/>
      <c r="AF179" s="10" t="n"/>
      <c r="AG179" s="10" t="n"/>
      <c r="AH179" s="10" t="n"/>
      <c r="AI179" s="10" t="n"/>
      <c r="AJ179" s="10" t="n"/>
      <c r="AK179" s="10" t="n"/>
      <c r="AL179" s="10" t="n"/>
      <c r="AM179" s="10" t="inlineStr">
        <is>
          <t>No</t>
        </is>
      </c>
      <c r="AN179" s="10" t="n"/>
      <c r="AO179" s="10" t="n"/>
      <c r="AP179" s="10">
        <f>IF(AND(AC179&lt;&gt;"",AO179&lt;&gt;"",AO179&gt;0),AC179/AO179,"")</f>
        <v/>
      </c>
      <c r="AQ179" s="10">
        <f>IF(AP179="","",IF(AP179&gt;=2,"A",IF(AP179&gt;=1.2,"B",IF(AP179&gt;=0.6,"C","D"))))</f>
        <v/>
      </c>
      <c r="AR179" s="10" t="inlineStr"/>
      <c r="AS179" s="11" t="inlineStr"/>
      <c r="AT179" s="10" t="inlineStr"/>
    </row>
    <row r="180">
      <c r="A180" s="10" t="inlineStr">
        <is>
          <t>W09-U6-X</t>
        </is>
      </c>
      <c r="B180" s="10" t="inlineStr">
        <is>
          <t>W09-U6</t>
        </is>
      </c>
      <c r="C180" s="10" t="n">
        <v>9</v>
      </c>
      <c r="D180" s="11" t="n">
        <v>46298</v>
      </c>
      <c r="E180" s="10" t="inlineStr">
        <is>
          <t>Saturday</t>
        </is>
      </c>
      <c r="F180" s="10" t="inlineStr">
        <is>
          <t>Priya</t>
        </is>
      </c>
      <c r="G180" s="10" t="inlineStr">
        <is>
          <t>Your regulars, remembered automatically.</t>
        </is>
      </c>
      <c r="H180" s="10" t="inlineStr">
        <is>
          <t>Inspire</t>
        </is>
      </c>
      <c r="I180" s="10" t="inlineStr">
        <is>
          <t>Static</t>
        </is>
      </c>
      <c r="J180" s="10" t="inlineStr">
        <is>
          <t>X</t>
        </is>
      </c>
      <c r="K180" s="10" t="inlineStr">
        <is>
          <t>Mirror</t>
        </is>
      </c>
      <c r="L180" s="10" t="inlineStr">
        <is>
          <t>A merchant's own words (quote card)</t>
        </is>
      </c>
      <c r="M180" s="10" t="inlineStr">
        <is>
          <t>Book a demo</t>
        </is>
      </c>
      <c r="N180" s="10" t="inlineStr">
        <is>
          <t>No</t>
        </is>
      </c>
      <c r="O180" s="10" t="inlineStr">
        <is>
          <t>Yes</t>
        </is>
      </c>
      <c r="P180" s="10" t="inlineStr">
        <is>
          <t>Not started</t>
        </is>
      </c>
      <c r="Q180" s="10" t="inlineStr">
        <is>
          <t>Not started</t>
        </is>
      </c>
      <c r="R180" s="10" t="inlineStr"/>
      <c r="S180" s="10" t="inlineStr"/>
      <c r="T180" s="10" t="inlineStr"/>
      <c r="U180" s="10" t="n"/>
      <c r="V180" s="10">
        <f>IF(U180="","",IF(U180&gt;=70,"Pass","Hold"))</f>
        <v/>
      </c>
      <c r="W180" s="11" t="n">
        <v>46298</v>
      </c>
      <c r="X180" s="10" t="inlineStr">
        <is>
          <t>10:00 AM</t>
        </is>
      </c>
      <c r="Y180" s="10" t="inlineStr">
        <is>
          <t>Scheduled</t>
        </is>
      </c>
      <c r="Z180" s="11" t="n"/>
      <c r="AA180" s="10" t="inlineStr"/>
      <c r="AB180" s="10" t="inlineStr"/>
      <c r="AC180" s="10" t="n"/>
      <c r="AD180" s="10" t="n"/>
      <c r="AE180" s="10" t="n"/>
      <c r="AF180" s="10" t="n"/>
      <c r="AG180" s="10" t="n"/>
      <c r="AH180" s="10" t="n"/>
      <c r="AI180" s="10" t="n"/>
      <c r="AJ180" s="10" t="n"/>
      <c r="AK180" s="10" t="n"/>
      <c r="AL180" s="10" t="n"/>
      <c r="AM180" s="10" t="inlineStr">
        <is>
          <t>No</t>
        </is>
      </c>
      <c r="AN180" s="10" t="n"/>
      <c r="AO180" s="10" t="n"/>
      <c r="AP180" s="10">
        <f>IF(AND(AC180&lt;&gt;"",AO180&lt;&gt;"",AO180&gt;0),AC180/AO180,"")</f>
        <v/>
      </c>
      <c r="AQ180" s="10">
        <f>IF(AP180="","",IF(AP180&gt;=2,"A",IF(AP180&gt;=1.2,"B",IF(AP180&gt;=0.6,"C","D"))))</f>
        <v/>
      </c>
      <c r="AR180" s="10" t="inlineStr"/>
      <c r="AS180" s="11" t="inlineStr"/>
      <c r="AT180" s="10" t="inlineStr"/>
    </row>
    <row r="181">
      <c r="A181" s="10" t="inlineStr">
        <is>
          <t>W09-U7-LI</t>
        </is>
      </c>
      <c r="B181" s="10" t="inlineStr">
        <is>
          <t>W09-U7</t>
        </is>
      </c>
      <c r="C181" s="10" t="n">
        <v>9</v>
      </c>
      <c r="D181" s="11" t="n">
        <v>46299</v>
      </c>
      <c r="E181" s="10" t="inlineStr">
        <is>
          <t>Sunday</t>
        </is>
      </c>
      <c r="F181" s="10" t="inlineStr">
        <is>
          <t>Priya</t>
        </is>
      </c>
      <c r="G181" s="10" t="inlineStr">
        <is>
          <t>One system, every register, every location.</t>
        </is>
      </c>
      <c r="H181" s="10" t="inlineStr">
        <is>
          <t>Inspire</t>
        </is>
      </c>
      <c r="I181" s="10" t="inlineStr">
        <is>
          <t>Text</t>
        </is>
      </c>
      <c r="J181" s="10" t="inlineStr">
        <is>
          <t>LinkedIn</t>
        </is>
      </c>
      <c r="K181" s="10" t="inlineStr">
        <is>
          <t>Primary</t>
        </is>
      </c>
      <c r="L181" s="10" t="inlineStr">
        <is>
          <t>LinkedIn long-form: why proof matters more than promises</t>
        </is>
      </c>
      <c r="M181" s="10" t="inlineStr">
        <is>
          <t>Read more (link)</t>
        </is>
      </c>
      <c r="N181" s="10" t="inlineStr">
        <is>
          <t>No</t>
        </is>
      </c>
      <c r="O181" s="10" t="inlineStr">
        <is>
          <t>No</t>
        </is>
      </c>
      <c r="P181" s="10" t="inlineStr">
        <is>
          <t>Not started</t>
        </is>
      </c>
      <c r="Q181" s="10" t="inlineStr">
        <is>
          <t>Not started</t>
        </is>
      </c>
      <c r="R181" s="10" t="inlineStr"/>
      <c r="S181" s="10" t="inlineStr"/>
      <c r="T181" s="10" t="inlineStr"/>
      <c r="U181" s="10" t="n"/>
      <c r="V181" s="10">
        <f>IF(U181="","",IF(U181&gt;=70,"Pass","Hold"))</f>
        <v/>
      </c>
      <c r="W181" s="11" t="n">
        <v>46299</v>
      </c>
      <c r="X181" s="10" t="inlineStr">
        <is>
          <t>10:00 AM</t>
        </is>
      </c>
      <c r="Y181" s="10" t="inlineStr">
        <is>
          <t>Scheduled</t>
        </is>
      </c>
      <c r="Z181" s="11" t="n"/>
      <c r="AA181" s="10" t="inlineStr"/>
      <c r="AB181" s="10" t="inlineStr"/>
      <c r="AC181" s="10" t="n"/>
      <c r="AD181" s="10" t="n"/>
      <c r="AE181" s="10" t="n"/>
      <c r="AF181" s="10" t="n"/>
      <c r="AG181" s="10" t="n"/>
      <c r="AH181" s="10" t="n"/>
      <c r="AI181" s="10" t="n"/>
      <c r="AJ181" s="10" t="n"/>
      <c r="AK181" s="10" t="n"/>
      <c r="AL181" s="10" t="n"/>
      <c r="AM181" s="10" t="inlineStr">
        <is>
          <t>No</t>
        </is>
      </c>
      <c r="AN181" s="10" t="n"/>
      <c r="AO181" s="10" t="n"/>
      <c r="AP181" s="10">
        <f>IF(AND(AC181&lt;&gt;"",AO181&lt;&gt;"",AO181&gt;0),AC181/AO181,"")</f>
        <v/>
      </c>
      <c r="AQ181" s="10">
        <f>IF(AP181="","",IF(AP181&gt;=2,"A",IF(AP181&gt;=1.2,"B",IF(AP181&gt;=0.6,"C","D"))))</f>
        <v/>
      </c>
      <c r="AR181" s="10" t="inlineStr"/>
      <c r="AS181" s="11" t="inlineStr"/>
      <c r="AT181" s="10" t="inlineStr"/>
    </row>
    <row r="182">
      <c r="A182" s="10" t="inlineStr">
        <is>
          <t>W10-U1-LI</t>
        </is>
      </c>
      <c r="B182" s="10" t="inlineStr">
        <is>
          <t>W10-U1</t>
        </is>
      </c>
      <c r="C182" s="10" t="n">
        <v>10</v>
      </c>
      <c r="D182" s="11" t="n">
        <v>46300</v>
      </c>
      <c r="E182" s="10" t="inlineStr">
        <is>
          <t>Monday</t>
        </is>
      </c>
      <c r="F182" s="10" t="inlineStr">
        <is>
          <t>Danny</t>
        </is>
      </c>
      <c r="G182" s="10" t="inlineStr">
        <is>
          <t>One system, every register, every location.</t>
        </is>
      </c>
      <c r="H182" s="10" t="inlineStr">
        <is>
          <t>Educate</t>
        </is>
      </c>
      <c r="I182" s="10" t="inlineStr">
        <is>
          <t>Text</t>
        </is>
      </c>
      <c r="J182" s="10" t="inlineStr">
        <is>
          <t>LinkedIn</t>
        </is>
      </c>
      <c r="K182" s="10" t="inlineStr">
        <is>
          <t>Primary</t>
        </is>
      </c>
      <c r="L182" s="10" t="inlineStr">
        <is>
          <t>A day in a liquor store running RetailzPOS</t>
        </is>
      </c>
      <c r="M182" s="10" t="inlineStr">
        <is>
          <t>Read more (link)</t>
        </is>
      </c>
      <c r="N182" s="10" t="inlineStr">
        <is>
          <t>No</t>
        </is>
      </c>
      <c r="O182" s="10" t="inlineStr">
        <is>
          <t>No</t>
        </is>
      </c>
      <c r="P182" s="10" t="inlineStr">
        <is>
          <t>Not started</t>
        </is>
      </c>
      <c r="Q182" s="10" t="inlineStr">
        <is>
          <t>Not started</t>
        </is>
      </c>
      <c r="R182" s="10" t="inlineStr"/>
      <c r="S182" s="10" t="inlineStr"/>
      <c r="T182" s="10" t="inlineStr"/>
      <c r="U182" s="10" t="n"/>
      <c r="V182" s="10">
        <f>IF(U182="","",IF(U182&gt;=70,"Pass","Hold"))</f>
        <v/>
      </c>
      <c r="W182" s="11" t="n">
        <v>46300</v>
      </c>
      <c r="X182" s="10" t="inlineStr">
        <is>
          <t>10:00 AM</t>
        </is>
      </c>
      <c r="Y182" s="10" t="inlineStr">
        <is>
          <t>Scheduled</t>
        </is>
      </c>
      <c r="Z182" s="11" t="n"/>
      <c r="AA182" s="10" t="inlineStr"/>
      <c r="AB182" s="10" t="inlineStr"/>
      <c r="AC182" s="10" t="n"/>
      <c r="AD182" s="10" t="n"/>
      <c r="AE182" s="10" t="n"/>
      <c r="AF182" s="10" t="n"/>
      <c r="AG182" s="10" t="n"/>
      <c r="AH182" s="10" t="n"/>
      <c r="AI182" s="10" t="n"/>
      <c r="AJ182" s="10" t="n"/>
      <c r="AK182" s="10" t="n"/>
      <c r="AL182" s="10" t="n"/>
      <c r="AM182" s="10" t="inlineStr">
        <is>
          <t>No</t>
        </is>
      </c>
      <c r="AN182" s="10" t="n"/>
      <c r="AO182" s="10" t="n"/>
      <c r="AP182" s="10">
        <f>IF(AND(AC182&lt;&gt;"",AO182&lt;&gt;"",AO182&gt;0),AC182/AO182,"")</f>
        <v/>
      </c>
      <c r="AQ182" s="10">
        <f>IF(AP182="","",IF(AP182&gt;=2,"A",IF(AP182&gt;=1.2,"B",IF(AP182&gt;=0.6,"C","D"))))</f>
        <v/>
      </c>
      <c r="AR182" s="10" t="inlineStr"/>
      <c r="AS182" s="11" t="inlineStr"/>
      <c r="AT182" s="10" t="inlineStr"/>
    </row>
    <row r="183">
      <c r="A183" s="10" t="inlineStr">
        <is>
          <t>W10-U1-FA</t>
        </is>
      </c>
      <c r="B183" s="10" t="inlineStr">
        <is>
          <t>W10-U1</t>
        </is>
      </c>
      <c r="C183" s="10" t="n">
        <v>10</v>
      </c>
      <c r="D183" s="11" t="n">
        <v>46300</v>
      </c>
      <c r="E183" s="10" t="inlineStr">
        <is>
          <t>Monday</t>
        </is>
      </c>
      <c r="F183" s="10" t="inlineStr">
        <is>
          <t>Danny</t>
        </is>
      </c>
      <c r="G183" s="10" t="inlineStr">
        <is>
          <t>One system, every register, every location.</t>
        </is>
      </c>
      <c r="H183" s="10" t="inlineStr">
        <is>
          <t>Educate</t>
        </is>
      </c>
      <c r="I183" s="10" t="inlineStr">
        <is>
          <t>Text</t>
        </is>
      </c>
      <c r="J183" s="10" t="inlineStr">
        <is>
          <t>Facebook</t>
        </is>
      </c>
      <c r="K183" s="10" t="inlineStr">
        <is>
          <t>Primary</t>
        </is>
      </c>
      <c r="L183" s="10" t="inlineStr">
        <is>
          <t>A day in a liquor store running RetailzPOS</t>
        </is>
      </c>
      <c r="M183" s="10" t="inlineStr">
        <is>
          <t>Read more (link)</t>
        </is>
      </c>
      <c r="N183" s="10" t="inlineStr">
        <is>
          <t>No</t>
        </is>
      </c>
      <c r="O183" s="10" t="inlineStr">
        <is>
          <t>No</t>
        </is>
      </c>
      <c r="P183" s="10" t="inlineStr">
        <is>
          <t>Not started</t>
        </is>
      </c>
      <c r="Q183" s="10" t="inlineStr">
        <is>
          <t>Not started</t>
        </is>
      </c>
      <c r="R183" s="10" t="inlineStr"/>
      <c r="S183" s="10" t="inlineStr"/>
      <c r="T183" s="10" t="inlineStr"/>
      <c r="U183" s="10" t="n"/>
      <c r="V183" s="10">
        <f>IF(U183="","",IF(U183&gt;=70,"Pass","Hold"))</f>
        <v/>
      </c>
      <c r="W183" s="11" t="n">
        <v>46300</v>
      </c>
      <c r="X183" s="10" t="inlineStr">
        <is>
          <t>10:00 AM</t>
        </is>
      </c>
      <c r="Y183" s="10" t="inlineStr">
        <is>
          <t>Scheduled</t>
        </is>
      </c>
      <c r="Z183" s="11" t="n"/>
      <c r="AA183" s="10" t="inlineStr"/>
      <c r="AB183" s="10" t="inlineStr"/>
      <c r="AC183" s="10" t="n"/>
      <c r="AD183" s="10" t="n"/>
      <c r="AE183" s="10" t="n"/>
      <c r="AF183" s="10" t="n"/>
      <c r="AG183" s="10" t="n"/>
      <c r="AH183" s="10" t="n"/>
      <c r="AI183" s="10" t="n"/>
      <c r="AJ183" s="10" t="n"/>
      <c r="AK183" s="10" t="n"/>
      <c r="AL183" s="10" t="n"/>
      <c r="AM183" s="10" t="inlineStr">
        <is>
          <t>No</t>
        </is>
      </c>
      <c r="AN183" s="10" t="n"/>
      <c r="AO183" s="10" t="n"/>
      <c r="AP183" s="10">
        <f>IF(AND(AC183&lt;&gt;"",AO183&lt;&gt;"",AO183&gt;0),AC183/AO183,"")</f>
        <v/>
      </c>
      <c r="AQ183" s="10">
        <f>IF(AP183="","",IF(AP183&gt;=2,"A",IF(AP183&gt;=1.2,"B",IF(AP183&gt;=0.6,"C","D"))))</f>
        <v/>
      </c>
      <c r="AR183" s="10" t="inlineStr"/>
      <c r="AS183" s="11" t="inlineStr"/>
      <c r="AT183" s="10" t="inlineStr"/>
    </row>
    <row r="184">
      <c r="A184" s="10" t="inlineStr">
        <is>
          <t>W10-U1-BL</t>
        </is>
      </c>
      <c r="B184" s="10" t="inlineStr">
        <is>
          <t>W10-U1</t>
        </is>
      </c>
      <c r="C184" s="10" t="n">
        <v>10</v>
      </c>
      <c r="D184" s="11" t="n">
        <v>46300</v>
      </c>
      <c r="E184" s="10" t="inlineStr">
        <is>
          <t>Monday</t>
        </is>
      </c>
      <c r="F184" s="10" t="inlineStr">
        <is>
          <t>Danny</t>
        </is>
      </c>
      <c r="G184" s="10" t="inlineStr">
        <is>
          <t>One system, every register, every location.</t>
        </is>
      </c>
      <c r="H184" s="10" t="inlineStr">
        <is>
          <t>Educate</t>
        </is>
      </c>
      <c r="I184" s="10" t="inlineStr">
        <is>
          <t>Text</t>
        </is>
      </c>
      <c r="J184" s="10" t="inlineStr">
        <is>
          <t>Blog/SEO</t>
        </is>
      </c>
      <c r="K184" s="10" t="inlineStr">
        <is>
          <t>Primary</t>
        </is>
      </c>
      <c r="L184" s="10" t="inlineStr">
        <is>
          <t>A day in a liquor store running RetailzPOS</t>
        </is>
      </c>
      <c r="M184" s="10" t="inlineStr">
        <is>
          <t>Read more (link)</t>
        </is>
      </c>
      <c r="N184" s="10" t="inlineStr">
        <is>
          <t>No</t>
        </is>
      </c>
      <c r="O184" s="10" t="inlineStr">
        <is>
          <t>No</t>
        </is>
      </c>
      <c r="P184" s="10" t="inlineStr">
        <is>
          <t>Not started</t>
        </is>
      </c>
      <c r="Q184" s="10" t="inlineStr">
        <is>
          <t>Not started</t>
        </is>
      </c>
      <c r="R184" s="10" t="inlineStr"/>
      <c r="S184" s="10" t="inlineStr"/>
      <c r="T184" s="10" t="inlineStr"/>
      <c r="U184" s="10" t="n"/>
      <c r="V184" s="10">
        <f>IF(U184="","",IF(U184&gt;=70,"Pass","Hold"))</f>
        <v/>
      </c>
      <c r="W184" s="11" t="n">
        <v>46300</v>
      </c>
      <c r="X184" s="10" t="inlineStr">
        <is>
          <t>10:00 AM</t>
        </is>
      </c>
      <c r="Y184" s="10" t="inlineStr">
        <is>
          <t>Scheduled</t>
        </is>
      </c>
      <c r="Z184" s="11" t="n"/>
      <c r="AA184" s="10" t="inlineStr"/>
      <c r="AB184" s="10" t="inlineStr"/>
      <c r="AC184" s="10" t="n"/>
      <c r="AD184" s="10" t="n"/>
      <c r="AE184" s="10" t="n"/>
      <c r="AF184" s="10" t="n"/>
      <c r="AG184" s="10" t="n"/>
      <c r="AH184" s="10" t="n"/>
      <c r="AI184" s="10" t="n"/>
      <c r="AJ184" s="10" t="n"/>
      <c r="AK184" s="10" t="n"/>
      <c r="AL184" s="10" t="n"/>
      <c r="AM184" s="10" t="inlineStr">
        <is>
          <t>No</t>
        </is>
      </c>
      <c r="AN184" s="10" t="n"/>
      <c r="AO184" s="10" t="n"/>
      <c r="AP184" s="10">
        <f>IF(AND(AC184&lt;&gt;"",AO184&lt;&gt;"",AO184&gt;0),AC184/AO184,"")</f>
        <v/>
      </c>
      <c r="AQ184" s="10">
        <f>IF(AP184="","",IF(AP184&gt;=2,"A",IF(AP184&gt;=1.2,"B",IF(AP184&gt;=0.6,"C","D"))))</f>
        <v/>
      </c>
      <c r="AR184" s="10" t="inlineStr"/>
      <c r="AS184" s="11" t="inlineStr"/>
      <c r="AT184" s="10" t="inlineStr"/>
    </row>
    <row r="185">
      <c r="A185" s="10" t="inlineStr">
        <is>
          <t>W10-U1-X</t>
        </is>
      </c>
      <c r="B185" s="10" t="inlineStr">
        <is>
          <t>W10-U1</t>
        </is>
      </c>
      <c r="C185" s="10" t="n">
        <v>10</v>
      </c>
      <c r="D185" s="11" t="n">
        <v>46300</v>
      </c>
      <c r="E185" s="10" t="inlineStr">
        <is>
          <t>Monday</t>
        </is>
      </c>
      <c r="F185" s="10" t="inlineStr">
        <is>
          <t>Danny</t>
        </is>
      </c>
      <c r="G185" s="10" t="inlineStr">
        <is>
          <t>One system, every register, every location.</t>
        </is>
      </c>
      <c r="H185" s="10" t="inlineStr">
        <is>
          <t>Educate</t>
        </is>
      </c>
      <c r="I185" s="10" t="inlineStr">
        <is>
          <t>Text</t>
        </is>
      </c>
      <c r="J185" s="10" t="inlineStr">
        <is>
          <t>X</t>
        </is>
      </c>
      <c r="K185" s="10" t="inlineStr">
        <is>
          <t>Mirror</t>
        </is>
      </c>
      <c r="L185" s="10" t="inlineStr">
        <is>
          <t>A day in a liquor store running RetailzPOS</t>
        </is>
      </c>
      <c r="M185" s="10" t="inlineStr">
        <is>
          <t>Read more (link)</t>
        </is>
      </c>
      <c r="N185" s="10" t="inlineStr">
        <is>
          <t>No</t>
        </is>
      </c>
      <c r="O185" s="10" t="inlineStr">
        <is>
          <t>No</t>
        </is>
      </c>
      <c r="P185" s="10" t="inlineStr">
        <is>
          <t>Not started</t>
        </is>
      </c>
      <c r="Q185" s="10" t="inlineStr">
        <is>
          <t>Not started</t>
        </is>
      </c>
      <c r="R185" s="10" t="inlineStr"/>
      <c r="S185" s="10" t="inlineStr"/>
      <c r="T185" s="10" t="inlineStr"/>
      <c r="U185" s="10" t="n"/>
      <c r="V185" s="10">
        <f>IF(U185="","",IF(U185&gt;=70,"Pass","Hold"))</f>
        <v/>
      </c>
      <c r="W185" s="11" t="n">
        <v>46300</v>
      </c>
      <c r="X185" s="10" t="inlineStr">
        <is>
          <t>10:00 AM</t>
        </is>
      </c>
      <c r="Y185" s="10" t="inlineStr">
        <is>
          <t>Scheduled</t>
        </is>
      </c>
      <c r="Z185" s="11" t="n"/>
      <c r="AA185" s="10" t="inlineStr"/>
      <c r="AB185" s="10" t="inlineStr"/>
      <c r="AC185" s="10" t="n"/>
      <c r="AD185" s="10" t="n"/>
      <c r="AE185" s="10" t="n"/>
      <c r="AF185" s="10" t="n"/>
      <c r="AG185" s="10" t="n"/>
      <c r="AH185" s="10" t="n"/>
      <c r="AI185" s="10" t="n"/>
      <c r="AJ185" s="10" t="n"/>
      <c r="AK185" s="10" t="n"/>
      <c r="AL185" s="10" t="n"/>
      <c r="AM185" s="10" t="inlineStr">
        <is>
          <t>No</t>
        </is>
      </c>
      <c r="AN185" s="10" t="n"/>
      <c r="AO185" s="10" t="n"/>
      <c r="AP185" s="10">
        <f>IF(AND(AC185&lt;&gt;"",AO185&lt;&gt;"",AO185&gt;0),AC185/AO185,"")</f>
        <v/>
      </c>
      <c r="AQ185" s="10">
        <f>IF(AP185="","",IF(AP185&gt;=2,"A",IF(AP185&gt;=1.2,"B",IF(AP185&gt;=0.6,"C","D"))))</f>
        <v/>
      </c>
      <c r="AR185" s="10" t="inlineStr"/>
      <c r="AS185" s="11" t="inlineStr"/>
      <c r="AT185" s="10" t="inlineStr"/>
    </row>
    <row r="186">
      <c r="A186" s="10" t="inlineStr">
        <is>
          <t>W10-U2-IN</t>
        </is>
      </c>
      <c r="B186" s="10" t="inlineStr">
        <is>
          <t>W10-U2</t>
        </is>
      </c>
      <c r="C186" s="10" t="n">
        <v>10</v>
      </c>
      <c r="D186" s="11" t="n">
        <v>46301</v>
      </c>
      <c r="E186" s="10" t="inlineStr">
        <is>
          <t>Tuesday</t>
        </is>
      </c>
      <c r="F186" s="10" t="inlineStr">
        <is>
          <t>Danny</t>
        </is>
      </c>
      <c r="G186" s="10" t="inlineStr">
        <is>
          <t>One system, every register, every location.</t>
        </is>
      </c>
      <c r="H186" s="10" t="inlineStr">
        <is>
          <t>Educate</t>
        </is>
      </c>
      <c r="I186" s="10" t="inlineStr">
        <is>
          <t>Carousel</t>
        </is>
      </c>
      <c r="J186" s="10" t="inlineStr">
        <is>
          <t>Instagram</t>
        </is>
      </c>
      <c r="K186" s="10" t="inlineStr">
        <is>
          <t>Primary</t>
        </is>
      </c>
      <c r="L186" s="10" t="inlineStr">
        <is>
          <t>The whole day, broken into moments</t>
        </is>
      </c>
      <c r="M186" s="10" t="inlineStr">
        <is>
          <t>Book a demo</t>
        </is>
      </c>
      <c r="N186" s="10" t="inlineStr">
        <is>
          <t>No</t>
        </is>
      </c>
      <c r="O186" s="10" t="inlineStr">
        <is>
          <t>No</t>
        </is>
      </c>
      <c r="P186" s="10" t="inlineStr">
        <is>
          <t>Not started</t>
        </is>
      </c>
      <c r="Q186" s="10" t="inlineStr">
        <is>
          <t>Not started</t>
        </is>
      </c>
      <c r="R186" s="10" t="inlineStr"/>
      <c r="S186" s="10" t="inlineStr"/>
      <c r="T186" s="10" t="inlineStr"/>
      <c r="U186" s="10" t="n"/>
      <c r="V186" s="10">
        <f>IF(U186="","",IF(U186&gt;=70,"Pass","Hold"))</f>
        <v/>
      </c>
      <c r="W186" s="11" t="n">
        <v>46301</v>
      </c>
      <c r="X186" s="10" t="inlineStr">
        <is>
          <t>10:00 AM</t>
        </is>
      </c>
      <c r="Y186" s="10" t="inlineStr">
        <is>
          <t>Scheduled</t>
        </is>
      </c>
      <c r="Z186" s="11" t="n"/>
      <c r="AA186" s="10" t="inlineStr"/>
      <c r="AB186" s="10" t="inlineStr"/>
      <c r="AC186" s="10" t="n"/>
      <c r="AD186" s="10" t="n"/>
      <c r="AE186" s="10" t="n"/>
      <c r="AF186" s="10" t="n"/>
      <c r="AG186" s="10" t="n"/>
      <c r="AH186" s="10" t="n"/>
      <c r="AI186" s="10" t="n"/>
      <c r="AJ186" s="10" t="n"/>
      <c r="AK186" s="10" t="n"/>
      <c r="AL186" s="10" t="n"/>
      <c r="AM186" s="10" t="inlineStr">
        <is>
          <t>No</t>
        </is>
      </c>
      <c r="AN186" s="10" t="n"/>
      <c r="AO186" s="10" t="n"/>
      <c r="AP186" s="10">
        <f>IF(AND(AC186&lt;&gt;"",AO186&lt;&gt;"",AO186&gt;0),AC186/AO186,"")</f>
        <v/>
      </c>
      <c r="AQ186" s="10">
        <f>IF(AP186="","",IF(AP186&gt;=2,"A",IF(AP186&gt;=1.2,"B",IF(AP186&gt;=0.6,"C","D"))))</f>
        <v/>
      </c>
      <c r="AR186" s="10" t="inlineStr"/>
      <c r="AS186" s="11" t="inlineStr"/>
      <c r="AT186" s="10" t="inlineStr"/>
    </row>
    <row r="187">
      <c r="A187" s="10" t="inlineStr">
        <is>
          <t>W10-U2-FA</t>
        </is>
      </c>
      <c r="B187" s="10" t="inlineStr">
        <is>
          <t>W10-U2</t>
        </is>
      </c>
      <c r="C187" s="10" t="n">
        <v>10</v>
      </c>
      <c r="D187" s="11" t="n">
        <v>46301</v>
      </c>
      <c r="E187" s="10" t="inlineStr">
        <is>
          <t>Tuesday</t>
        </is>
      </c>
      <c r="F187" s="10" t="inlineStr">
        <is>
          <t>Danny</t>
        </is>
      </c>
      <c r="G187" s="10" t="inlineStr">
        <is>
          <t>One system, every register, every location.</t>
        </is>
      </c>
      <c r="H187" s="10" t="inlineStr">
        <is>
          <t>Educate</t>
        </is>
      </c>
      <c r="I187" s="10" t="inlineStr">
        <is>
          <t>Carousel</t>
        </is>
      </c>
      <c r="J187" s="10" t="inlineStr">
        <is>
          <t>Facebook</t>
        </is>
      </c>
      <c r="K187" s="10" t="inlineStr">
        <is>
          <t>Mirror</t>
        </is>
      </c>
      <c r="L187" s="10" t="inlineStr">
        <is>
          <t>The whole day, broken into moments</t>
        </is>
      </c>
      <c r="M187" s="10" t="inlineStr">
        <is>
          <t>Book a demo</t>
        </is>
      </c>
      <c r="N187" s="10" t="inlineStr">
        <is>
          <t>No</t>
        </is>
      </c>
      <c r="O187" s="10" t="inlineStr">
        <is>
          <t>No</t>
        </is>
      </c>
      <c r="P187" s="10" t="inlineStr">
        <is>
          <t>Not started</t>
        </is>
      </c>
      <c r="Q187" s="10" t="inlineStr">
        <is>
          <t>Not started</t>
        </is>
      </c>
      <c r="R187" s="10" t="inlineStr"/>
      <c r="S187" s="10" t="inlineStr"/>
      <c r="T187" s="10" t="inlineStr"/>
      <c r="U187" s="10" t="n"/>
      <c r="V187" s="10">
        <f>IF(U187="","",IF(U187&gt;=70,"Pass","Hold"))</f>
        <v/>
      </c>
      <c r="W187" s="11" t="n">
        <v>46301</v>
      </c>
      <c r="X187" s="10" t="inlineStr">
        <is>
          <t>10:00 AM</t>
        </is>
      </c>
      <c r="Y187" s="10" t="inlineStr">
        <is>
          <t>Scheduled</t>
        </is>
      </c>
      <c r="Z187" s="11" t="n"/>
      <c r="AA187" s="10" t="inlineStr"/>
      <c r="AB187" s="10" t="inlineStr"/>
      <c r="AC187" s="10" t="n"/>
      <c r="AD187" s="10" t="n"/>
      <c r="AE187" s="10" t="n"/>
      <c r="AF187" s="10" t="n"/>
      <c r="AG187" s="10" t="n"/>
      <c r="AH187" s="10" t="n"/>
      <c r="AI187" s="10" t="n"/>
      <c r="AJ187" s="10" t="n"/>
      <c r="AK187" s="10" t="n"/>
      <c r="AL187" s="10" t="n"/>
      <c r="AM187" s="10" t="inlineStr">
        <is>
          <t>No</t>
        </is>
      </c>
      <c r="AN187" s="10" t="n"/>
      <c r="AO187" s="10" t="n"/>
      <c r="AP187" s="10">
        <f>IF(AND(AC187&lt;&gt;"",AO187&lt;&gt;"",AO187&gt;0),AC187/AO187,"")</f>
        <v/>
      </c>
      <c r="AQ187" s="10">
        <f>IF(AP187="","",IF(AP187&gt;=2,"A",IF(AP187&gt;=1.2,"B",IF(AP187&gt;=0.6,"C","D"))))</f>
        <v/>
      </c>
      <c r="AR187" s="10" t="inlineStr"/>
      <c r="AS187" s="11" t="inlineStr"/>
      <c r="AT187" s="10" t="inlineStr"/>
    </row>
    <row r="188">
      <c r="A188" s="10" t="inlineStr">
        <is>
          <t>W10-U2-LI</t>
        </is>
      </c>
      <c r="B188" s="10" t="inlineStr">
        <is>
          <t>W10-U2</t>
        </is>
      </c>
      <c r="C188" s="10" t="n">
        <v>10</v>
      </c>
      <c r="D188" s="11" t="n">
        <v>46301</v>
      </c>
      <c r="E188" s="10" t="inlineStr">
        <is>
          <t>Tuesday</t>
        </is>
      </c>
      <c r="F188" s="10" t="inlineStr">
        <is>
          <t>Danny</t>
        </is>
      </c>
      <c r="G188" s="10" t="inlineStr">
        <is>
          <t>One system, every register, every location.</t>
        </is>
      </c>
      <c r="H188" s="10" t="inlineStr">
        <is>
          <t>Educate</t>
        </is>
      </c>
      <c r="I188" s="10" t="inlineStr">
        <is>
          <t>Carousel</t>
        </is>
      </c>
      <c r="J188" s="10" t="inlineStr">
        <is>
          <t>LinkedIn</t>
        </is>
      </c>
      <c r="K188" s="10" t="inlineStr">
        <is>
          <t>Adapted</t>
        </is>
      </c>
      <c r="L188" s="10" t="inlineStr">
        <is>
          <t>The whole day, broken into moments</t>
        </is>
      </c>
      <c r="M188" s="10" t="inlineStr">
        <is>
          <t>Book a demo</t>
        </is>
      </c>
      <c r="N188" s="10" t="inlineStr">
        <is>
          <t>No</t>
        </is>
      </c>
      <c r="O188" s="10" t="inlineStr">
        <is>
          <t>No</t>
        </is>
      </c>
      <c r="P188" s="10" t="inlineStr">
        <is>
          <t>Not started</t>
        </is>
      </c>
      <c r="Q188" s="10" t="inlineStr">
        <is>
          <t>Not started</t>
        </is>
      </c>
      <c r="R188" s="10" t="inlineStr"/>
      <c r="S188" s="10" t="inlineStr"/>
      <c r="T188" s="10" t="inlineStr"/>
      <c r="U188" s="10" t="n"/>
      <c r="V188" s="10">
        <f>IF(U188="","",IF(U188&gt;=70,"Pass","Hold"))</f>
        <v/>
      </c>
      <c r="W188" s="11" t="n">
        <v>46301</v>
      </c>
      <c r="X188" s="10" t="inlineStr">
        <is>
          <t>10:00 AM</t>
        </is>
      </c>
      <c r="Y188" s="10" t="inlineStr">
        <is>
          <t>Scheduled</t>
        </is>
      </c>
      <c r="Z188" s="11" t="n"/>
      <c r="AA188" s="10" t="inlineStr"/>
      <c r="AB188" s="10" t="inlineStr"/>
      <c r="AC188" s="10" t="n"/>
      <c r="AD188" s="10" t="n"/>
      <c r="AE188" s="10" t="n"/>
      <c r="AF188" s="10" t="n"/>
      <c r="AG188" s="10" t="n"/>
      <c r="AH188" s="10" t="n"/>
      <c r="AI188" s="10" t="n"/>
      <c r="AJ188" s="10" t="n"/>
      <c r="AK188" s="10" t="n"/>
      <c r="AL188" s="10" t="n"/>
      <c r="AM188" s="10" t="inlineStr">
        <is>
          <t>No</t>
        </is>
      </c>
      <c r="AN188" s="10" t="n"/>
      <c r="AO188" s="10" t="n"/>
      <c r="AP188" s="10">
        <f>IF(AND(AC188&lt;&gt;"",AO188&lt;&gt;"",AO188&gt;0),AC188/AO188,"")</f>
        <v/>
      </c>
      <c r="AQ188" s="10">
        <f>IF(AP188="","",IF(AP188&gt;=2,"A",IF(AP188&gt;=1.2,"B",IF(AP188&gt;=0.6,"C","D"))))</f>
        <v/>
      </c>
      <c r="AR188" s="10" t="inlineStr"/>
      <c r="AS188" s="11" t="inlineStr"/>
      <c r="AT188" s="10" t="inlineStr"/>
    </row>
    <row r="189">
      <c r="A189" s="10" t="inlineStr">
        <is>
          <t>W10-U3-IN</t>
        </is>
      </c>
      <c r="B189" s="10" t="inlineStr">
        <is>
          <t>W10-U3</t>
        </is>
      </c>
      <c r="C189" s="10" t="n">
        <v>10</v>
      </c>
      <c r="D189" s="11" t="n">
        <v>46302</v>
      </c>
      <c r="E189" s="10" t="inlineStr">
        <is>
          <t>Wednesday</t>
        </is>
      </c>
      <c r="F189" s="10" t="inlineStr">
        <is>
          <t>Danny</t>
        </is>
      </c>
      <c r="G189" s="10" t="inlineStr">
        <is>
          <t>One system, every register, every location.</t>
        </is>
      </c>
      <c r="H189" s="10" t="inlineStr">
        <is>
          <t>Inspire</t>
        </is>
      </c>
      <c r="I189" s="10" t="inlineStr">
        <is>
          <t>Video</t>
        </is>
      </c>
      <c r="J189" s="10" t="inlineStr">
        <is>
          <t>Instagram</t>
        </is>
      </c>
      <c r="K189" s="10" t="inlineStr">
        <is>
          <t>Primary</t>
        </is>
      </c>
      <c r="L189" s="10" t="inlineStr">
        <is>
          <t>The full day (long-form video)</t>
        </is>
      </c>
      <c r="M189" s="10" t="inlineStr">
        <is>
          <t>Book a demo</t>
        </is>
      </c>
      <c r="N189" s="10" t="inlineStr">
        <is>
          <t>No</t>
        </is>
      </c>
      <c r="O189" s="10" t="inlineStr">
        <is>
          <t>No</t>
        </is>
      </c>
      <c r="P189" s="10" t="inlineStr">
        <is>
          <t>Not started</t>
        </is>
      </c>
      <c r="Q189" s="10" t="inlineStr">
        <is>
          <t>Not started</t>
        </is>
      </c>
      <c r="R189" s="10" t="inlineStr"/>
      <c r="S189" s="10" t="inlineStr"/>
      <c r="T189" s="10" t="inlineStr"/>
      <c r="U189" s="10" t="n"/>
      <c r="V189" s="10">
        <f>IF(U189="","",IF(U189&gt;=70,"Pass","Hold"))</f>
        <v/>
      </c>
      <c r="W189" s="11" t="n">
        <v>46302</v>
      </c>
      <c r="X189" s="10" t="inlineStr">
        <is>
          <t>10:00 AM</t>
        </is>
      </c>
      <c r="Y189" s="10" t="inlineStr">
        <is>
          <t>Scheduled</t>
        </is>
      </c>
      <c r="Z189" s="11" t="n"/>
      <c r="AA189" s="10" t="inlineStr"/>
      <c r="AB189" s="10" t="inlineStr"/>
      <c r="AC189" s="10" t="n"/>
      <c r="AD189" s="10" t="n"/>
      <c r="AE189" s="10" t="n"/>
      <c r="AF189" s="10" t="n"/>
      <c r="AG189" s="10" t="n"/>
      <c r="AH189" s="10" t="n"/>
      <c r="AI189" s="10" t="n"/>
      <c r="AJ189" s="10" t="n"/>
      <c r="AK189" s="10" t="n"/>
      <c r="AL189" s="10" t="n"/>
      <c r="AM189" s="10" t="inlineStr">
        <is>
          <t>No</t>
        </is>
      </c>
      <c r="AN189" s="10" t="n"/>
      <c r="AO189" s="10" t="n"/>
      <c r="AP189" s="10">
        <f>IF(AND(AC189&lt;&gt;"",AO189&lt;&gt;"",AO189&gt;0),AC189/AO189,"")</f>
        <v/>
      </c>
      <c r="AQ189" s="10">
        <f>IF(AP189="","",IF(AP189&gt;=2,"A",IF(AP189&gt;=1.2,"B",IF(AP189&gt;=0.6,"C","D"))))</f>
        <v/>
      </c>
      <c r="AR189" s="10" t="inlineStr"/>
      <c r="AS189" s="11" t="inlineStr"/>
      <c r="AT189" s="10" t="inlineStr"/>
    </row>
    <row r="190">
      <c r="A190" s="10" t="inlineStr">
        <is>
          <t>W10-U3-FA</t>
        </is>
      </c>
      <c r="B190" s="10" t="inlineStr">
        <is>
          <t>W10-U3</t>
        </is>
      </c>
      <c r="C190" s="10" t="n">
        <v>10</v>
      </c>
      <c r="D190" s="11" t="n">
        <v>46302</v>
      </c>
      <c r="E190" s="10" t="inlineStr">
        <is>
          <t>Wednesday</t>
        </is>
      </c>
      <c r="F190" s="10" t="inlineStr">
        <is>
          <t>Danny</t>
        </is>
      </c>
      <c r="G190" s="10" t="inlineStr">
        <is>
          <t>One system, every register, every location.</t>
        </is>
      </c>
      <c r="H190" s="10" t="inlineStr">
        <is>
          <t>Inspire</t>
        </is>
      </c>
      <c r="I190" s="10" t="inlineStr">
        <is>
          <t>Video</t>
        </is>
      </c>
      <c r="J190" s="10" t="inlineStr">
        <is>
          <t>Facebook</t>
        </is>
      </c>
      <c r="K190" s="10" t="inlineStr">
        <is>
          <t>Mirror</t>
        </is>
      </c>
      <c r="L190" s="10" t="inlineStr">
        <is>
          <t>The full day (long-form video)</t>
        </is>
      </c>
      <c r="M190" s="10" t="inlineStr">
        <is>
          <t>Book a demo</t>
        </is>
      </c>
      <c r="N190" s="10" t="inlineStr">
        <is>
          <t>No</t>
        </is>
      </c>
      <c r="O190" s="10" t="inlineStr">
        <is>
          <t>No</t>
        </is>
      </c>
      <c r="P190" s="10" t="inlineStr">
        <is>
          <t>Not started</t>
        </is>
      </c>
      <c r="Q190" s="10" t="inlineStr">
        <is>
          <t>Not started</t>
        </is>
      </c>
      <c r="R190" s="10" t="inlineStr"/>
      <c r="S190" s="10" t="inlineStr"/>
      <c r="T190" s="10" t="inlineStr"/>
      <c r="U190" s="10" t="n"/>
      <c r="V190" s="10">
        <f>IF(U190="","",IF(U190&gt;=70,"Pass","Hold"))</f>
        <v/>
      </c>
      <c r="W190" s="11" t="n">
        <v>46302</v>
      </c>
      <c r="X190" s="10" t="inlineStr">
        <is>
          <t>10:00 AM</t>
        </is>
      </c>
      <c r="Y190" s="10" t="inlineStr">
        <is>
          <t>Scheduled</t>
        </is>
      </c>
      <c r="Z190" s="11" t="n"/>
      <c r="AA190" s="10" t="inlineStr"/>
      <c r="AB190" s="10" t="inlineStr"/>
      <c r="AC190" s="10" t="n"/>
      <c r="AD190" s="10" t="n"/>
      <c r="AE190" s="10" t="n"/>
      <c r="AF190" s="10" t="n"/>
      <c r="AG190" s="10" t="n"/>
      <c r="AH190" s="10" t="n"/>
      <c r="AI190" s="10" t="n"/>
      <c r="AJ190" s="10" t="n"/>
      <c r="AK190" s="10" t="n"/>
      <c r="AL190" s="10" t="n"/>
      <c r="AM190" s="10" t="inlineStr">
        <is>
          <t>No</t>
        </is>
      </c>
      <c r="AN190" s="10" t="n"/>
      <c r="AO190" s="10" t="n"/>
      <c r="AP190" s="10">
        <f>IF(AND(AC190&lt;&gt;"",AO190&lt;&gt;"",AO190&gt;0),AC190/AO190,"")</f>
        <v/>
      </c>
      <c r="AQ190" s="10">
        <f>IF(AP190="","",IF(AP190&gt;=2,"A",IF(AP190&gt;=1.2,"B",IF(AP190&gt;=0.6,"C","D"))))</f>
        <v/>
      </c>
      <c r="AR190" s="10" t="inlineStr"/>
      <c r="AS190" s="11" t="inlineStr"/>
      <c r="AT190" s="10" t="inlineStr"/>
    </row>
    <row r="191">
      <c r="A191" s="10" t="inlineStr">
        <is>
          <t>W10-U3-TI</t>
        </is>
      </c>
      <c r="B191" s="10" t="inlineStr">
        <is>
          <t>W10-U3</t>
        </is>
      </c>
      <c r="C191" s="10" t="n">
        <v>10</v>
      </c>
      <c r="D191" s="11" t="n">
        <v>46302</v>
      </c>
      <c r="E191" s="10" t="inlineStr">
        <is>
          <t>Wednesday</t>
        </is>
      </c>
      <c r="F191" s="10" t="inlineStr">
        <is>
          <t>Danny</t>
        </is>
      </c>
      <c r="G191" s="10" t="inlineStr">
        <is>
          <t>One system, every register, every location.</t>
        </is>
      </c>
      <c r="H191" s="10" t="inlineStr">
        <is>
          <t>Inspire</t>
        </is>
      </c>
      <c r="I191" s="10" t="inlineStr">
        <is>
          <t>Video</t>
        </is>
      </c>
      <c r="J191" s="10" t="inlineStr">
        <is>
          <t>TikTok</t>
        </is>
      </c>
      <c r="K191" s="10" t="inlineStr">
        <is>
          <t>Adapted</t>
        </is>
      </c>
      <c r="L191" s="10" t="inlineStr">
        <is>
          <t>The full day (long-form video)</t>
        </is>
      </c>
      <c r="M191" s="10" t="inlineStr">
        <is>
          <t>Book a demo</t>
        </is>
      </c>
      <c r="N191" s="10" t="inlineStr">
        <is>
          <t>No</t>
        </is>
      </c>
      <c r="O191" s="10" t="inlineStr">
        <is>
          <t>No</t>
        </is>
      </c>
      <c r="P191" s="10" t="inlineStr">
        <is>
          <t>Not started</t>
        </is>
      </c>
      <c r="Q191" s="10" t="inlineStr">
        <is>
          <t>Not started</t>
        </is>
      </c>
      <c r="R191" s="10" t="inlineStr"/>
      <c r="S191" s="10" t="inlineStr"/>
      <c r="T191" s="10" t="inlineStr"/>
      <c r="U191" s="10" t="n"/>
      <c r="V191" s="10">
        <f>IF(U191="","",IF(U191&gt;=70,"Pass","Hold"))</f>
        <v/>
      </c>
      <c r="W191" s="11" t="n">
        <v>46302</v>
      </c>
      <c r="X191" s="10" t="inlineStr">
        <is>
          <t>10:00 AM</t>
        </is>
      </c>
      <c r="Y191" s="10" t="inlineStr">
        <is>
          <t>Scheduled</t>
        </is>
      </c>
      <c r="Z191" s="11" t="n"/>
      <c r="AA191" s="10" t="inlineStr"/>
      <c r="AB191" s="10" t="inlineStr"/>
      <c r="AC191" s="10" t="n"/>
      <c r="AD191" s="10" t="n"/>
      <c r="AE191" s="10" t="n"/>
      <c r="AF191" s="10" t="n"/>
      <c r="AG191" s="10" t="n"/>
      <c r="AH191" s="10" t="n"/>
      <c r="AI191" s="10" t="n"/>
      <c r="AJ191" s="10" t="n"/>
      <c r="AK191" s="10" t="n"/>
      <c r="AL191" s="10" t="n"/>
      <c r="AM191" s="10" t="inlineStr">
        <is>
          <t>No</t>
        </is>
      </c>
      <c r="AN191" s="10" t="n"/>
      <c r="AO191" s="10" t="n"/>
      <c r="AP191" s="10">
        <f>IF(AND(AC191&lt;&gt;"",AO191&lt;&gt;"",AO191&gt;0),AC191/AO191,"")</f>
        <v/>
      </c>
      <c r="AQ191" s="10">
        <f>IF(AP191="","",IF(AP191&gt;=2,"A",IF(AP191&gt;=1.2,"B",IF(AP191&gt;=0.6,"C","D"))))</f>
        <v/>
      </c>
      <c r="AR191" s="10" t="inlineStr"/>
      <c r="AS191" s="11" t="inlineStr"/>
      <c r="AT191" s="10" t="inlineStr"/>
    </row>
    <row r="192">
      <c r="A192" s="10" t="inlineStr">
        <is>
          <t>W10-U4-LI</t>
        </is>
      </c>
      <c r="B192" s="10" t="inlineStr">
        <is>
          <t>W10-U4</t>
        </is>
      </c>
      <c r="C192" s="10" t="n">
        <v>10</v>
      </c>
      <c r="D192" s="11" t="n">
        <v>46303</v>
      </c>
      <c r="E192" s="10" t="inlineStr">
        <is>
          <t>Thursday</t>
        </is>
      </c>
      <c r="F192" s="10" t="inlineStr">
        <is>
          <t>Danny</t>
        </is>
      </c>
      <c r="G192" s="10" t="inlineStr">
        <is>
          <t>Built for what needs an ID check.</t>
        </is>
      </c>
      <c r="H192" s="10" t="inlineStr">
        <is>
          <t>Educate</t>
        </is>
      </c>
      <c r="I192" s="10" t="inlineStr">
        <is>
          <t>Static</t>
        </is>
      </c>
      <c r="J192" s="10" t="inlineStr">
        <is>
          <t>LinkedIn</t>
        </is>
      </c>
      <c r="K192" s="10" t="inlineStr">
        <is>
          <t>Primary</t>
        </is>
      </c>
      <c r="L192" s="10" t="inlineStr">
        <is>
          <t>Every feature, one day</t>
        </is>
      </c>
      <c r="M192" s="10" t="inlineStr">
        <is>
          <t>Book a demo</t>
        </is>
      </c>
      <c r="N192" s="10" t="inlineStr">
        <is>
          <t>No</t>
        </is>
      </c>
      <c r="O192" s="10" t="inlineStr">
        <is>
          <t>No</t>
        </is>
      </c>
      <c r="P192" s="10" t="inlineStr">
        <is>
          <t>Not started</t>
        </is>
      </c>
      <c r="Q192" s="10" t="inlineStr">
        <is>
          <t>Not started</t>
        </is>
      </c>
      <c r="R192" s="10" t="inlineStr"/>
      <c r="S192" s="10" t="inlineStr"/>
      <c r="T192" s="10" t="inlineStr"/>
      <c r="U192" s="10" t="n"/>
      <c r="V192" s="10">
        <f>IF(U192="","",IF(U192&gt;=70,"Pass","Hold"))</f>
        <v/>
      </c>
      <c r="W192" s="11" t="n">
        <v>46303</v>
      </c>
      <c r="X192" s="10" t="inlineStr">
        <is>
          <t>10:00 AM</t>
        </is>
      </c>
      <c r="Y192" s="10" t="inlineStr">
        <is>
          <t>Scheduled</t>
        </is>
      </c>
      <c r="Z192" s="11" t="n"/>
      <c r="AA192" s="10" t="inlineStr"/>
      <c r="AB192" s="10" t="inlineStr"/>
      <c r="AC192" s="10" t="n"/>
      <c r="AD192" s="10" t="n"/>
      <c r="AE192" s="10" t="n"/>
      <c r="AF192" s="10" t="n"/>
      <c r="AG192" s="10" t="n"/>
      <c r="AH192" s="10" t="n"/>
      <c r="AI192" s="10" t="n"/>
      <c r="AJ192" s="10" t="n"/>
      <c r="AK192" s="10" t="n"/>
      <c r="AL192" s="10" t="n"/>
      <c r="AM192" s="10" t="inlineStr">
        <is>
          <t>No</t>
        </is>
      </c>
      <c r="AN192" s="10" t="n"/>
      <c r="AO192" s="10" t="n"/>
      <c r="AP192" s="10">
        <f>IF(AND(AC192&lt;&gt;"",AO192&lt;&gt;"",AO192&gt;0),AC192/AO192,"")</f>
        <v/>
      </c>
      <c r="AQ192" s="10">
        <f>IF(AP192="","",IF(AP192&gt;=2,"A",IF(AP192&gt;=1.2,"B",IF(AP192&gt;=0.6,"C","D"))))</f>
        <v/>
      </c>
      <c r="AR192" s="10" t="inlineStr"/>
      <c r="AS192" s="11" t="inlineStr"/>
      <c r="AT192" s="10" t="inlineStr"/>
    </row>
    <row r="193">
      <c r="A193" s="10" t="inlineStr">
        <is>
          <t>W10-U4-FA</t>
        </is>
      </c>
      <c r="B193" s="10" t="inlineStr">
        <is>
          <t>W10-U4</t>
        </is>
      </c>
      <c r="C193" s="10" t="n">
        <v>10</v>
      </c>
      <c r="D193" s="11" t="n">
        <v>46303</v>
      </c>
      <c r="E193" s="10" t="inlineStr">
        <is>
          <t>Thursday</t>
        </is>
      </c>
      <c r="F193" s="10" t="inlineStr">
        <is>
          <t>Danny</t>
        </is>
      </c>
      <c r="G193" s="10" t="inlineStr">
        <is>
          <t>Built for what needs an ID check.</t>
        </is>
      </c>
      <c r="H193" s="10" t="inlineStr">
        <is>
          <t>Educate</t>
        </is>
      </c>
      <c r="I193" s="10" t="inlineStr">
        <is>
          <t>Static</t>
        </is>
      </c>
      <c r="J193" s="10" t="inlineStr">
        <is>
          <t>Facebook</t>
        </is>
      </c>
      <c r="K193" s="10" t="inlineStr">
        <is>
          <t>Mirror</t>
        </is>
      </c>
      <c r="L193" s="10" t="inlineStr">
        <is>
          <t>Every feature, one day</t>
        </is>
      </c>
      <c r="M193" s="10" t="inlineStr">
        <is>
          <t>Book a demo</t>
        </is>
      </c>
      <c r="N193" s="10" t="inlineStr">
        <is>
          <t>No</t>
        </is>
      </c>
      <c r="O193" s="10" t="inlineStr">
        <is>
          <t>No</t>
        </is>
      </c>
      <c r="P193" s="10" t="inlineStr">
        <is>
          <t>Not started</t>
        </is>
      </c>
      <c r="Q193" s="10" t="inlineStr">
        <is>
          <t>Not started</t>
        </is>
      </c>
      <c r="R193" s="10" t="inlineStr"/>
      <c r="S193" s="10" t="inlineStr"/>
      <c r="T193" s="10" t="inlineStr"/>
      <c r="U193" s="10" t="n"/>
      <c r="V193" s="10">
        <f>IF(U193="","",IF(U193&gt;=70,"Pass","Hold"))</f>
        <v/>
      </c>
      <c r="W193" s="11" t="n">
        <v>46303</v>
      </c>
      <c r="X193" s="10" t="inlineStr">
        <is>
          <t>10:00 AM</t>
        </is>
      </c>
      <c r="Y193" s="10" t="inlineStr">
        <is>
          <t>Scheduled</t>
        </is>
      </c>
      <c r="Z193" s="11" t="n"/>
      <c r="AA193" s="10" t="inlineStr"/>
      <c r="AB193" s="10" t="inlineStr"/>
      <c r="AC193" s="10" t="n"/>
      <c r="AD193" s="10" t="n"/>
      <c r="AE193" s="10" t="n"/>
      <c r="AF193" s="10" t="n"/>
      <c r="AG193" s="10" t="n"/>
      <c r="AH193" s="10" t="n"/>
      <c r="AI193" s="10" t="n"/>
      <c r="AJ193" s="10" t="n"/>
      <c r="AK193" s="10" t="n"/>
      <c r="AL193" s="10" t="n"/>
      <c r="AM193" s="10" t="inlineStr">
        <is>
          <t>No</t>
        </is>
      </c>
      <c r="AN193" s="10" t="n"/>
      <c r="AO193" s="10" t="n"/>
      <c r="AP193" s="10">
        <f>IF(AND(AC193&lt;&gt;"",AO193&lt;&gt;"",AO193&gt;0),AC193/AO193,"")</f>
        <v/>
      </c>
      <c r="AQ193" s="10">
        <f>IF(AP193="","",IF(AP193&gt;=2,"A",IF(AP193&gt;=1.2,"B",IF(AP193&gt;=0.6,"C","D"))))</f>
        <v/>
      </c>
      <c r="AR193" s="10" t="inlineStr"/>
      <c r="AS193" s="11" t="inlineStr"/>
      <c r="AT193" s="10" t="inlineStr"/>
    </row>
    <row r="194">
      <c r="A194" s="10" t="inlineStr">
        <is>
          <t>W10-U4-IN</t>
        </is>
      </c>
      <c r="B194" s="10" t="inlineStr">
        <is>
          <t>W10-U4</t>
        </is>
      </c>
      <c r="C194" s="10" t="n">
        <v>10</v>
      </c>
      <c r="D194" s="11" t="n">
        <v>46303</v>
      </c>
      <c r="E194" s="10" t="inlineStr">
        <is>
          <t>Thursday</t>
        </is>
      </c>
      <c r="F194" s="10" t="inlineStr">
        <is>
          <t>Danny</t>
        </is>
      </c>
      <c r="G194" s="10" t="inlineStr">
        <is>
          <t>Built for what needs an ID check.</t>
        </is>
      </c>
      <c r="H194" s="10" t="inlineStr">
        <is>
          <t>Educate</t>
        </is>
      </c>
      <c r="I194" s="10" t="inlineStr">
        <is>
          <t>Static</t>
        </is>
      </c>
      <c r="J194" s="10" t="inlineStr">
        <is>
          <t>Instagram</t>
        </is>
      </c>
      <c r="K194" s="10" t="inlineStr">
        <is>
          <t>Adapted</t>
        </is>
      </c>
      <c r="L194" s="10" t="inlineStr">
        <is>
          <t>Every feature, one day</t>
        </is>
      </c>
      <c r="M194" s="10" t="inlineStr">
        <is>
          <t>Book a demo</t>
        </is>
      </c>
      <c r="N194" s="10" t="inlineStr">
        <is>
          <t>No</t>
        </is>
      </c>
      <c r="O194" s="10" t="inlineStr">
        <is>
          <t>No</t>
        </is>
      </c>
      <c r="P194" s="10" t="inlineStr">
        <is>
          <t>Not started</t>
        </is>
      </c>
      <c r="Q194" s="10" t="inlineStr">
        <is>
          <t>Not started</t>
        </is>
      </c>
      <c r="R194" s="10" t="inlineStr"/>
      <c r="S194" s="10" t="inlineStr"/>
      <c r="T194" s="10" t="inlineStr"/>
      <c r="U194" s="10" t="n"/>
      <c r="V194" s="10">
        <f>IF(U194="","",IF(U194&gt;=70,"Pass","Hold"))</f>
        <v/>
      </c>
      <c r="W194" s="11" t="n">
        <v>46303</v>
      </c>
      <c r="X194" s="10" t="inlineStr">
        <is>
          <t>10:00 AM</t>
        </is>
      </c>
      <c r="Y194" s="10" t="inlineStr">
        <is>
          <t>Scheduled</t>
        </is>
      </c>
      <c r="Z194" s="11" t="n"/>
      <c r="AA194" s="10" t="inlineStr"/>
      <c r="AB194" s="10" t="inlineStr"/>
      <c r="AC194" s="10" t="n"/>
      <c r="AD194" s="10" t="n"/>
      <c r="AE194" s="10" t="n"/>
      <c r="AF194" s="10" t="n"/>
      <c r="AG194" s="10" t="n"/>
      <c r="AH194" s="10" t="n"/>
      <c r="AI194" s="10" t="n"/>
      <c r="AJ194" s="10" t="n"/>
      <c r="AK194" s="10" t="n"/>
      <c r="AL194" s="10" t="n"/>
      <c r="AM194" s="10" t="inlineStr">
        <is>
          <t>No</t>
        </is>
      </c>
      <c r="AN194" s="10" t="n"/>
      <c r="AO194" s="10" t="n"/>
      <c r="AP194" s="10">
        <f>IF(AND(AC194&lt;&gt;"",AO194&lt;&gt;"",AO194&gt;0),AC194/AO194,"")</f>
        <v/>
      </c>
      <c r="AQ194" s="10">
        <f>IF(AP194="","",IF(AP194&gt;=2,"A",IF(AP194&gt;=1.2,"B",IF(AP194&gt;=0.6,"C","D"))))</f>
        <v/>
      </c>
      <c r="AR194" s="10" t="inlineStr"/>
      <c r="AS194" s="11" t="inlineStr"/>
      <c r="AT194" s="10" t="inlineStr"/>
    </row>
    <row r="195">
      <c r="A195" s="10" t="inlineStr">
        <is>
          <t>W10-U5-IN</t>
        </is>
      </c>
      <c r="B195" s="10" t="inlineStr">
        <is>
          <t>W10-U5</t>
        </is>
      </c>
      <c r="C195" s="10" t="n">
        <v>10</v>
      </c>
      <c r="D195" s="11" t="n">
        <v>46304</v>
      </c>
      <c r="E195" s="10" t="inlineStr">
        <is>
          <t>Friday</t>
        </is>
      </c>
      <c r="F195" s="10" t="inlineStr">
        <is>
          <t>Danny</t>
        </is>
      </c>
      <c r="G195" s="10" t="inlineStr">
        <is>
          <t>One system, every register, every location.</t>
        </is>
      </c>
      <c r="H195" s="10" t="inlineStr">
        <is>
          <t>Engage</t>
        </is>
      </c>
      <c r="I195" s="10" t="inlineStr">
        <is>
          <t>Text</t>
        </is>
      </c>
      <c r="J195" s="10" t="inlineStr">
        <is>
          <t>Instagram</t>
        </is>
      </c>
      <c r="K195" s="10" t="inlineStr">
        <is>
          <t>Primary</t>
        </is>
      </c>
      <c r="L195" s="10" t="inlineStr">
        <is>
          <t>What's your busiest hour?</t>
        </is>
      </c>
      <c r="M195" s="10" t="inlineStr">
        <is>
          <t>Engage (vote)</t>
        </is>
      </c>
      <c r="N195" s="10" t="inlineStr">
        <is>
          <t>No</t>
        </is>
      </c>
      <c r="O195" s="10" t="inlineStr">
        <is>
          <t>No</t>
        </is>
      </c>
      <c r="P195" s="10" t="inlineStr">
        <is>
          <t>Not started</t>
        </is>
      </c>
      <c r="Q195" s="10" t="inlineStr">
        <is>
          <t>Not started</t>
        </is>
      </c>
      <c r="R195" s="10" t="inlineStr"/>
      <c r="S195" s="10" t="inlineStr"/>
      <c r="T195" s="10" t="inlineStr"/>
      <c r="U195" s="10" t="n"/>
      <c r="V195" s="10">
        <f>IF(U195="","",IF(U195&gt;=70,"Pass","Hold"))</f>
        <v/>
      </c>
      <c r="W195" s="11" t="n">
        <v>46304</v>
      </c>
      <c r="X195" s="10" t="inlineStr">
        <is>
          <t>10:00 AM</t>
        </is>
      </c>
      <c r="Y195" s="10" t="inlineStr">
        <is>
          <t>Scheduled</t>
        </is>
      </c>
      <c r="Z195" s="11" t="n"/>
      <c r="AA195" s="10" t="inlineStr"/>
      <c r="AB195" s="10" t="inlineStr"/>
      <c r="AC195" s="10" t="n"/>
      <c r="AD195" s="10" t="n"/>
      <c r="AE195" s="10" t="n"/>
      <c r="AF195" s="10" t="n"/>
      <c r="AG195" s="10" t="n"/>
      <c r="AH195" s="10" t="n"/>
      <c r="AI195" s="10" t="n"/>
      <c r="AJ195" s="10" t="n"/>
      <c r="AK195" s="10" t="n"/>
      <c r="AL195" s="10" t="n"/>
      <c r="AM195" s="10" t="inlineStr">
        <is>
          <t>No</t>
        </is>
      </c>
      <c r="AN195" s="10" t="n"/>
      <c r="AO195" s="10" t="n"/>
      <c r="AP195" s="10">
        <f>IF(AND(AC195&lt;&gt;"",AO195&lt;&gt;"",AO195&gt;0),AC195/AO195,"")</f>
        <v/>
      </c>
      <c r="AQ195" s="10">
        <f>IF(AP195="","",IF(AP195&gt;=2,"A",IF(AP195&gt;=1.2,"B",IF(AP195&gt;=0.6,"C","D"))))</f>
        <v/>
      </c>
      <c r="AR195" s="10" t="inlineStr"/>
      <c r="AS195" s="11" t="inlineStr"/>
      <c r="AT195" s="10" t="inlineStr"/>
    </row>
    <row r="196">
      <c r="A196" s="10" t="inlineStr">
        <is>
          <t>W10-U5-LI</t>
        </is>
      </c>
      <c r="B196" s="10" t="inlineStr">
        <is>
          <t>W10-U5</t>
        </is>
      </c>
      <c r="C196" s="10" t="n">
        <v>10</v>
      </c>
      <c r="D196" s="11" t="n">
        <v>46304</v>
      </c>
      <c r="E196" s="10" t="inlineStr">
        <is>
          <t>Friday</t>
        </is>
      </c>
      <c r="F196" s="10" t="inlineStr">
        <is>
          <t>Danny</t>
        </is>
      </c>
      <c r="G196" s="10" t="inlineStr">
        <is>
          <t>One system, every register, every location.</t>
        </is>
      </c>
      <c r="H196" s="10" t="inlineStr">
        <is>
          <t>Engage</t>
        </is>
      </c>
      <c r="I196" s="10" t="inlineStr">
        <is>
          <t>Text</t>
        </is>
      </c>
      <c r="J196" s="10" t="inlineStr">
        <is>
          <t>LinkedIn</t>
        </is>
      </c>
      <c r="K196" s="10" t="inlineStr">
        <is>
          <t>Adapted</t>
        </is>
      </c>
      <c r="L196" s="10" t="inlineStr">
        <is>
          <t>What's your busiest hour?</t>
        </is>
      </c>
      <c r="M196" s="10" t="inlineStr">
        <is>
          <t>Engage (vote)</t>
        </is>
      </c>
      <c r="N196" s="10" t="inlineStr">
        <is>
          <t>No</t>
        </is>
      </c>
      <c r="O196" s="10" t="inlineStr">
        <is>
          <t>No</t>
        </is>
      </c>
      <c r="P196" s="10" t="inlineStr">
        <is>
          <t>Not started</t>
        </is>
      </c>
      <c r="Q196" s="10" t="inlineStr">
        <is>
          <t>Not started</t>
        </is>
      </c>
      <c r="R196" s="10" t="inlineStr"/>
      <c r="S196" s="10" t="inlineStr"/>
      <c r="T196" s="10" t="inlineStr"/>
      <c r="U196" s="10" t="n"/>
      <c r="V196" s="10">
        <f>IF(U196="","",IF(U196&gt;=70,"Pass","Hold"))</f>
        <v/>
      </c>
      <c r="W196" s="11" t="n">
        <v>46304</v>
      </c>
      <c r="X196" s="10" t="inlineStr">
        <is>
          <t>10:00 AM</t>
        </is>
      </c>
      <c r="Y196" s="10" t="inlineStr">
        <is>
          <t>Scheduled</t>
        </is>
      </c>
      <c r="Z196" s="11" t="n"/>
      <c r="AA196" s="10" t="inlineStr"/>
      <c r="AB196" s="10" t="inlineStr"/>
      <c r="AC196" s="10" t="n"/>
      <c r="AD196" s="10" t="n"/>
      <c r="AE196" s="10" t="n"/>
      <c r="AF196" s="10" t="n"/>
      <c r="AG196" s="10" t="n"/>
      <c r="AH196" s="10" t="n"/>
      <c r="AI196" s="10" t="n"/>
      <c r="AJ196" s="10" t="n"/>
      <c r="AK196" s="10" t="n"/>
      <c r="AL196" s="10" t="n"/>
      <c r="AM196" s="10" t="inlineStr">
        <is>
          <t>No</t>
        </is>
      </c>
      <c r="AN196" s="10" t="n"/>
      <c r="AO196" s="10" t="n"/>
      <c r="AP196" s="10">
        <f>IF(AND(AC196&lt;&gt;"",AO196&lt;&gt;"",AO196&gt;0),AC196/AO196,"")</f>
        <v/>
      </c>
      <c r="AQ196" s="10">
        <f>IF(AP196="","",IF(AP196&gt;=2,"A",IF(AP196&gt;=1.2,"B",IF(AP196&gt;=0.6,"C","D"))))</f>
        <v/>
      </c>
      <c r="AR196" s="10" t="inlineStr"/>
      <c r="AS196" s="11" t="inlineStr"/>
      <c r="AT196" s="10" t="inlineStr"/>
    </row>
    <row r="197">
      <c r="A197" s="10" t="inlineStr">
        <is>
          <t>W10-U6-IN</t>
        </is>
      </c>
      <c r="B197" s="10" t="inlineStr">
        <is>
          <t>W10-U6</t>
        </is>
      </c>
      <c r="C197" s="10" t="n">
        <v>10</v>
      </c>
      <c r="D197" s="11" t="n">
        <v>46305</v>
      </c>
      <c r="E197" s="10" t="inlineStr">
        <is>
          <t>Saturday</t>
        </is>
      </c>
      <c r="F197" s="10" t="inlineStr">
        <is>
          <t>Danny</t>
        </is>
      </c>
      <c r="G197" s="10" t="inlineStr">
        <is>
          <t>One system, every register, every location.</t>
        </is>
      </c>
      <c r="H197" s="10" t="inlineStr">
        <is>
          <t>Inspire</t>
        </is>
      </c>
      <c r="I197" s="10" t="inlineStr">
        <is>
          <t>Static</t>
        </is>
      </c>
      <c r="J197" s="10" t="inlineStr">
        <is>
          <t>Instagram</t>
        </is>
      </c>
      <c r="K197" s="10" t="inlineStr">
        <is>
          <t>Primary</t>
        </is>
      </c>
      <c r="L197" s="10" t="inlineStr">
        <is>
          <t>Every register, every hour, handled</t>
        </is>
      </c>
      <c r="M197" s="10" t="inlineStr">
        <is>
          <t>Book a demo</t>
        </is>
      </c>
      <c r="N197" s="10" t="inlineStr">
        <is>
          <t>No</t>
        </is>
      </c>
      <c r="O197" s="10" t="inlineStr">
        <is>
          <t>No</t>
        </is>
      </c>
      <c r="P197" s="10" t="inlineStr">
        <is>
          <t>Not started</t>
        </is>
      </c>
      <c r="Q197" s="10" t="inlineStr">
        <is>
          <t>Not started</t>
        </is>
      </c>
      <c r="R197" s="10" t="inlineStr"/>
      <c r="S197" s="10" t="inlineStr"/>
      <c r="T197" s="10" t="inlineStr"/>
      <c r="U197" s="10" t="n"/>
      <c r="V197" s="10">
        <f>IF(U197="","",IF(U197&gt;=70,"Pass","Hold"))</f>
        <v/>
      </c>
      <c r="W197" s="11" t="n">
        <v>46305</v>
      </c>
      <c r="X197" s="10" t="inlineStr">
        <is>
          <t>10:00 AM</t>
        </is>
      </c>
      <c r="Y197" s="10" t="inlineStr">
        <is>
          <t>Scheduled</t>
        </is>
      </c>
      <c r="Z197" s="11" t="n"/>
      <c r="AA197" s="10" t="inlineStr"/>
      <c r="AB197" s="10" t="inlineStr"/>
      <c r="AC197" s="10" t="n"/>
      <c r="AD197" s="10" t="n"/>
      <c r="AE197" s="10" t="n"/>
      <c r="AF197" s="10" t="n"/>
      <c r="AG197" s="10" t="n"/>
      <c r="AH197" s="10" t="n"/>
      <c r="AI197" s="10" t="n"/>
      <c r="AJ197" s="10" t="n"/>
      <c r="AK197" s="10" t="n"/>
      <c r="AL197" s="10" t="n"/>
      <c r="AM197" s="10" t="inlineStr">
        <is>
          <t>No</t>
        </is>
      </c>
      <c r="AN197" s="10" t="n"/>
      <c r="AO197" s="10" t="n"/>
      <c r="AP197" s="10">
        <f>IF(AND(AC197&lt;&gt;"",AO197&lt;&gt;"",AO197&gt;0),AC197/AO197,"")</f>
        <v/>
      </c>
      <c r="AQ197" s="10">
        <f>IF(AP197="","",IF(AP197&gt;=2,"A",IF(AP197&gt;=1.2,"B",IF(AP197&gt;=0.6,"C","D"))))</f>
        <v/>
      </c>
      <c r="AR197" s="10" t="inlineStr"/>
      <c r="AS197" s="11" t="inlineStr"/>
      <c r="AT197" s="10" t="inlineStr"/>
    </row>
    <row r="198">
      <c r="A198" s="10" t="inlineStr">
        <is>
          <t>W10-U6-FA</t>
        </is>
      </c>
      <c r="B198" s="10" t="inlineStr">
        <is>
          <t>W10-U6</t>
        </is>
      </c>
      <c r="C198" s="10" t="n">
        <v>10</v>
      </c>
      <c r="D198" s="11" t="n">
        <v>46305</v>
      </c>
      <c r="E198" s="10" t="inlineStr">
        <is>
          <t>Saturday</t>
        </is>
      </c>
      <c r="F198" s="10" t="inlineStr">
        <is>
          <t>Danny</t>
        </is>
      </c>
      <c r="G198" s="10" t="inlineStr">
        <is>
          <t>One system, every register, every location.</t>
        </is>
      </c>
      <c r="H198" s="10" t="inlineStr">
        <is>
          <t>Inspire</t>
        </is>
      </c>
      <c r="I198" s="10" t="inlineStr">
        <is>
          <t>Static</t>
        </is>
      </c>
      <c r="J198" s="10" t="inlineStr">
        <is>
          <t>Facebook</t>
        </is>
      </c>
      <c r="K198" s="10" t="inlineStr">
        <is>
          <t>Mirror</t>
        </is>
      </c>
      <c r="L198" s="10" t="inlineStr">
        <is>
          <t>Every register, every hour, handled</t>
        </is>
      </c>
      <c r="M198" s="10" t="inlineStr">
        <is>
          <t>Book a demo</t>
        </is>
      </c>
      <c r="N198" s="10" t="inlineStr">
        <is>
          <t>No</t>
        </is>
      </c>
      <c r="O198" s="10" t="inlineStr">
        <is>
          <t>No</t>
        </is>
      </c>
      <c r="P198" s="10" t="inlineStr">
        <is>
          <t>Not started</t>
        </is>
      </c>
      <c r="Q198" s="10" t="inlineStr">
        <is>
          <t>Not started</t>
        </is>
      </c>
      <c r="R198" s="10" t="inlineStr"/>
      <c r="S198" s="10" t="inlineStr"/>
      <c r="T198" s="10" t="inlineStr"/>
      <c r="U198" s="10" t="n"/>
      <c r="V198" s="10">
        <f>IF(U198="","",IF(U198&gt;=70,"Pass","Hold"))</f>
        <v/>
      </c>
      <c r="W198" s="11" t="n">
        <v>46305</v>
      </c>
      <c r="X198" s="10" t="inlineStr">
        <is>
          <t>10:00 AM</t>
        </is>
      </c>
      <c r="Y198" s="10" t="inlineStr">
        <is>
          <t>Scheduled</t>
        </is>
      </c>
      <c r="Z198" s="11" t="n"/>
      <c r="AA198" s="10" t="inlineStr"/>
      <c r="AB198" s="10" t="inlineStr"/>
      <c r="AC198" s="10" t="n"/>
      <c r="AD198" s="10" t="n"/>
      <c r="AE198" s="10" t="n"/>
      <c r="AF198" s="10" t="n"/>
      <c r="AG198" s="10" t="n"/>
      <c r="AH198" s="10" t="n"/>
      <c r="AI198" s="10" t="n"/>
      <c r="AJ198" s="10" t="n"/>
      <c r="AK198" s="10" t="n"/>
      <c r="AL198" s="10" t="n"/>
      <c r="AM198" s="10" t="inlineStr">
        <is>
          <t>No</t>
        </is>
      </c>
      <c r="AN198" s="10" t="n"/>
      <c r="AO198" s="10" t="n"/>
      <c r="AP198" s="10">
        <f>IF(AND(AC198&lt;&gt;"",AO198&lt;&gt;"",AO198&gt;0),AC198/AO198,"")</f>
        <v/>
      </c>
      <c r="AQ198" s="10">
        <f>IF(AP198="","",IF(AP198&gt;=2,"A",IF(AP198&gt;=1.2,"B",IF(AP198&gt;=0.6,"C","D"))))</f>
        <v/>
      </c>
      <c r="AR198" s="10" t="inlineStr"/>
      <c r="AS198" s="11" t="inlineStr"/>
      <c r="AT198" s="10" t="inlineStr"/>
    </row>
    <row r="199">
      <c r="A199" s="10" t="inlineStr">
        <is>
          <t>W10-U6-X</t>
        </is>
      </c>
      <c r="B199" s="10" t="inlineStr">
        <is>
          <t>W10-U6</t>
        </is>
      </c>
      <c r="C199" s="10" t="n">
        <v>10</v>
      </c>
      <c r="D199" s="11" t="n">
        <v>46305</v>
      </c>
      <c r="E199" s="10" t="inlineStr">
        <is>
          <t>Saturday</t>
        </is>
      </c>
      <c r="F199" s="10" t="inlineStr">
        <is>
          <t>Danny</t>
        </is>
      </c>
      <c r="G199" s="10" t="inlineStr">
        <is>
          <t>One system, every register, every location.</t>
        </is>
      </c>
      <c r="H199" s="10" t="inlineStr">
        <is>
          <t>Inspire</t>
        </is>
      </c>
      <c r="I199" s="10" t="inlineStr">
        <is>
          <t>Static</t>
        </is>
      </c>
      <c r="J199" s="10" t="inlineStr">
        <is>
          <t>X</t>
        </is>
      </c>
      <c r="K199" s="10" t="inlineStr">
        <is>
          <t>Mirror</t>
        </is>
      </c>
      <c r="L199" s="10" t="inlineStr">
        <is>
          <t>Every register, every hour, handled</t>
        </is>
      </c>
      <c r="M199" s="10" t="inlineStr">
        <is>
          <t>Book a demo</t>
        </is>
      </c>
      <c r="N199" s="10" t="inlineStr">
        <is>
          <t>No</t>
        </is>
      </c>
      <c r="O199" s="10" t="inlineStr">
        <is>
          <t>No</t>
        </is>
      </c>
      <c r="P199" s="10" t="inlineStr">
        <is>
          <t>Not started</t>
        </is>
      </c>
      <c r="Q199" s="10" t="inlineStr">
        <is>
          <t>Not started</t>
        </is>
      </c>
      <c r="R199" s="10" t="inlineStr"/>
      <c r="S199" s="10" t="inlineStr"/>
      <c r="T199" s="10" t="inlineStr"/>
      <c r="U199" s="10" t="n"/>
      <c r="V199" s="10">
        <f>IF(U199="","",IF(U199&gt;=70,"Pass","Hold"))</f>
        <v/>
      </c>
      <c r="W199" s="11" t="n">
        <v>46305</v>
      </c>
      <c r="X199" s="10" t="inlineStr">
        <is>
          <t>10:00 AM</t>
        </is>
      </c>
      <c r="Y199" s="10" t="inlineStr">
        <is>
          <t>Scheduled</t>
        </is>
      </c>
      <c r="Z199" s="11" t="n"/>
      <c r="AA199" s="10" t="inlineStr"/>
      <c r="AB199" s="10" t="inlineStr"/>
      <c r="AC199" s="10" t="n"/>
      <c r="AD199" s="10" t="n"/>
      <c r="AE199" s="10" t="n"/>
      <c r="AF199" s="10" t="n"/>
      <c r="AG199" s="10" t="n"/>
      <c r="AH199" s="10" t="n"/>
      <c r="AI199" s="10" t="n"/>
      <c r="AJ199" s="10" t="n"/>
      <c r="AK199" s="10" t="n"/>
      <c r="AL199" s="10" t="n"/>
      <c r="AM199" s="10" t="inlineStr">
        <is>
          <t>No</t>
        </is>
      </c>
      <c r="AN199" s="10" t="n"/>
      <c r="AO199" s="10" t="n"/>
      <c r="AP199" s="10">
        <f>IF(AND(AC199&lt;&gt;"",AO199&lt;&gt;"",AO199&gt;0),AC199/AO199,"")</f>
        <v/>
      </c>
      <c r="AQ199" s="10">
        <f>IF(AP199="","",IF(AP199&gt;=2,"A",IF(AP199&gt;=1.2,"B",IF(AP199&gt;=0.6,"C","D"))))</f>
        <v/>
      </c>
      <c r="AR199" s="10" t="inlineStr"/>
      <c r="AS199" s="11" t="inlineStr"/>
      <c r="AT199" s="10" t="inlineStr"/>
    </row>
    <row r="200">
      <c r="A200" s="10" t="inlineStr">
        <is>
          <t>W11-U1-LI</t>
        </is>
      </c>
      <c r="B200" s="10" t="inlineStr">
        <is>
          <t>W11-U1</t>
        </is>
      </c>
      <c r="C200" s="10" t="n">
        <v>11</v>
      </c>
      <c r="D200" s="11" t="n">
        <v>46307</v>
      </c>
      <c r="E200" s="10" t="inlineStr">
        <is>
          <t>Monday</t>
        </is>
      </c>
      <c r="F200" s="10" t="inlineStr">
        <is>
          <t>Farah / Ray</t>
        </is>
      </c>
      <c r="G200" s="10" t="inlineStr">
        <is>
          <t>One system, every register, every location.</t>
        </is>
      </c>
      <c r="H200" s="10" t="inlineStr">
        <is>
          <t>Educate</t>
        </is>
      </c>
      <c r="I200" s="10" t="inlineStr">
        <is>
          <t>Text</t>
        </is>
      </c>
      <c r="J200" s="10" t="inlineStr">
        <is>
          <t>LinkedIn</t>
        </is>
      </c>
      <c r="K200" s="10" t="inlineStr">
        <is>
          <t>Primary</t>
        </is>
      </c>
      <c r="L200" s="10" t="inlineStr">
        <is>
          <t>A day in a convenience/smoke shop running RetailzPOS</t>
        </is>
      </c>
      <c r="M200" s="10" t="inlineStr">
        <is>
          <t>Read more (link)</t>
        </is>
      </c>
      <c r="N200" s="10" t="inlineStr">
        <is>
          <t>No</t>
        </is>
      </c>
      <c r="O200" s="10" t="inlineStr">
        <is>
          <t>No</t>
        </is>
      </c>
      <c r="P200" s="10" t="inlineStr">
        <is>
          <t>Not started</t>
        </is>
      </c>
      <c r="Q200" s="10" t="inlineStr">
        <is>
          <t>Not started</t>
        </is>
      </c>
      <c r="R200" s="10" t="inlineStr"/>
      <c r="S200" s="10" t="inlineStr"/>
      <c r="T200" s="10" t="inlineStr"/>
      <c r="U200" s="10" t="n"/>
      <c r="V200" s="10">
        <f>IF(U200="","",IF(U200&gt;=70,"Pass","Hold"))</f>
        <v/>
      </c>
      <c r="W200" s="11" t="n">
        <v>46307</v>
      </c>
      <c r="X200" s="10" t="inlineStr">
        <is>
          <t>10:00 AM</t>
        </is>
      </c>
      <c r="Y200" s="10" t="inlineStr">
        <is>
          <t>Scheduled</t>
        </is>
      </c>
      <c r="Z200" s="11" t="n"/>
      <c r="AA200" s="10" t="inlineStr"/>
      <c r="AB200" s="10" t="inlineStr"/>
      <c r="AC200" s="10" t="n"/>
      <c r="AD200" s="10" t="n"/>
      <c r="AE200" s="10" t="n"/>
      <c r="AF200" s="10" t="n"/>
      <c r="AG200" s="10" t="n"/>
      <c r="AH200" s="10" t="n"/>
      <c r="AI200" s="10" t="n"/>
      <c r="AJ200" s="10" t="n"/>
      <c r="AK200" s="10" t="n"/>
      <c r="AL200" s="10" t="n"/>
      <c r="AM200" s="10" t="inlineStr">
        <is>
          <t>No</t>
        </is>
      </c>
      <c r="AN200" s="10" t="n"/>
      <c r="AO200" s="10" t="n"/>
      <c r="AP200" s="10">
        <f>IF(AND(AC200&lt;&gt;"",AO200&lt;&gt;"",AO200&gt;0),AC200/AO200,"")</f>
        <v/>
      </c>
      <c r="AQ200" s="10">
        <f>IF(AP200="","",IF(AP200&gt;=2,"A",IF(AP200&gt;=1.2,"B",IF(AP200&gt;=0.6,"C","D"))))</f>
        <v/>
      </c>
      <c r="AR200" s="10" t="inlineStr"/>
      <c r="AS200" s="11" t="inlineStr"/>
      <c r="AT200" s="10" t="inlineStr"/>
    </row>
    <row r="201">
      <c r="A201" s="10" t="inlineStr">
        <is>
          <t>W11-U1-FA</t>
        </is>
      </c>
      <c r="B201" s="10" t="inlineStr">
        <is>
          <t>W11-U1</t>
        </is>
      </c>
      <c r="C201" s="10" t="n">
        <v>11</v>
      </c>
      <c r="D201" s="11" t="n">
        <v>46307</v>
      </c>
      <c r="E201" s="10" t="inlineStr">
        <is>
          <t>Monday</t>
        </is>
      </c>
      <c r="F201" s="10" t="inlineStr">
        <is>
          <t>Farah / Ray</t>
        </is>
      </c>
      <c r="G201" s="10" t="inlineStr">
        <is>
          <t>One system, every register, every location.</t>
        </is>
      </c>
      <c r="H201" s="10" t="inlineStr">
        <is>
          <t>Educate</t>
        </is>
      </c>
      <c r="I201" s="10" t="inlineStr">
        <is>
          <t>Text</t>
        </is>
      </c>
      <c r="J201" s="10" t="inlineStr">
        <is>
          <t>Facebook</t>
        </is>
      </c>
      <c r="K201" s="10" t="inlineStr">
        <is>
          <t>Primary</t>
        </is>
      </c>
      <c r="L201" s="10" t="inlineStr">
        <is>
          <t>A day in a convenience/smoke shop running RetailzPOS</t>
        </is>
      </c>
      <c r="M201" s="10" t="inlineStr">
        <is>
          <t>Read more (link)</t>
        </is>
      </c>
      <c r="N201" s="10" t="inlineStr">
        <is>
          <t>No</t>
        </is>
      </c>
      <c r="O201" s="10" t="inlineStr">
        <is>
          <t>No</t>
        </is>
      </c>
      <c r="P201" s="10" t="inlineStr">
        <is>
          <t>Not started</t>
        </is>
      </c>
      <c r="Q201" s="10" t="inlineStr">
        <is>
          <t>Not started</t>
        </is>
      </c>
      <c r="R201" s="10" t="inlineStr"/>
      <c r="S201" s="10" t="inlineStr"/>
      <c r="T201" s="10" t="inlineStr"/>
      <c r="U201" s="10" t="n"/>
      <c r="V201" s="10">
        <f>IF(U201="","",IF(U201&gt;=70,"Pass","Hold"))</f>
        <v/>
      </c>
      <c r="W201" s="11" t="n">
        <v>46307</v>
      </c>
      <c r="X201" s="10" t="inlineStr">
        <is>
          <t>10:00 AM</t>
        </is>
      </c>
      <c r="Y201" s="10" t="inlineStr">
        <is>
          <t>Scheduled</t>
        </is>
      </c>
      <c r="Z201" s="11" t="n"/>
      <c r="AA201" s="10" t="inlineStr"/>
      <c r="AB201" s="10" t="inlineStr"/>
      <c r="AC201" s="10" t="n"/>
      <c r="AD201" s="10" t="n"/>
      <c r="AE201" s="10" t="n"/>
      <c r="AF201" s="10" t="n"/>
      <c r="AG201" s="10" t="n"/>
      <c r="AH201" s="10" t="n"/>
      <c r="AI201" s="10" t="n"/>
      <c r="AJ201" s="10" t="n"/>
      <c r="AK201" s="10" t="n"/>
      <c r="AL201" s="10" t="n"/>
      <c r="AM201" s="10" t="inlineStr">
        <is>
          <t>No</t>
        </is>
      </c>
      <c r="AN201" s="10" t="n"/>
      <c r="AO201" s="10" t="n"/>
      <c r="AP201" s="10">
        <f>IF(AND(AC201&lt;&gt;"",AO201&lt;&gt;"",AO201&gt;0),AC201/AO201,"")</f>
        <v/>
      </c>
      <c r="AQ201" s="10">
        <f>IF(AP201="","",IF(AP201&gt;=2,"A",IF(AP201&gt;=1.2,"B",IF(AP201&gt;=0.6,"C","D"))))</f>
        <v/>
      </c>
      <c r="AR201" s="10" t="inlineStr"/>
      <c r="AS201" s="11" t="inlineStr"/>
      <c r="AT201" s="10" t="inlineStr"/>
    </row>
    <row r="202">
      <c r="A202" s="10" t="inlineStr">
        <is>
          <t>W11-U1-BL</t>
        </is>
      </c>
      <c r="B202" s="10" t="inlineStr">
        <is>
          <t>W11-U1</t>
        </is>
      </c>
      <c r="C202" s="10" t="n">
        <v>11</v>
      </c>
      <c r="D202" s="11" t="n">
        <v>46307</v>
      </c>
      <c r="E202" s="10" t="inlineStr">
        <is>
          <t>Monday</t>
        </is>
      </c>
      <c r="F202" s="10" t="inlineStr">
        <is>
          <t>Farah / Ray</t>
        </is>
      </c>
      <c r="G202" s="10" t="inlineStr">
        <is>
          <t>One system, every register, every location.</t>
        </is>
      </c>
      <c r="H202" s="10" t="inlineStr">
        <is>
          <t>Educate</t>
        </is>
      </c>
      <c r="I202" s="10" t="inlineStr">
        <is>
          <t>Text</t>
        </is>
      </c>
      <c r="J202" s="10" t="inlineStr">
        <is>
          <t>Blog/SEO</t>
        </is>
      </c>
      <c r="K202" s="10" t="inlineStr">
        <is>
          <t>Primary</t>
        </is>
      </c>
      <c r="L202" s="10" t="inlineStr">
        <is>
          <t>A day in a convenience/smoke shop running RetailzPOS</t>
        </is>
      </c>
      <c r="M202" s="10" t="inlineStr">
        <is>
          <t>Read more (link)</t>
        </is>
      </c>
      <c r="N202" s="10" t="inlineStr">
        <is>
          <t>No</t>
        </is>
      </c>
      <c r="O202" s="10" t="inlineStr">
        <is>
          <t>No</t>
        </is>
      </c>
      <c r="P202" s="10" t="inlineStr">
        <is>
          <t>Not started</t>
        </is>
      </c>
      <c r="Q202" s="10" t="inlineStr">
        <is>
          <t>Not started</t>
        </is>
      </c>
      <c r="R202" s="10" t="inlineStr"/>
      <c r="S202" s="10" t="inlineStr"/>
      <c r="T202" s="10" t="inlineStr"/>
      <c r="U202" s="10" t="n"/>
      <c r="V202" s="10">
        <f>IF(U202="","",IF(U202&gt;=70,"Pass","Hold"))</f>
        <v/>
      </c>
      <c r="W202" s="11" t="n">
        <v>46307</v>
      </c>
      <c r="X202" s="10" t="inlineStr">
        <is>
          <t>10:00 AM</t>
        </is>
      </c>
      <c r="Y202" s="10" t="inlineStr">
        <is>
          <t>Scheduled</t>
        </is>
      </c>
      <c r="Z202" s="11" t="n"/>
      <c r="AA202" s="10" t="inlineStr"/>
      <c r="AB202" s="10" t="inlineStr"/>
      <c r="AC202" s="10" t="n"/>
      <c r="AD202" s="10" t="n"/>
      <c r="AE202" s="10" t="n"/>
      <c r="AF202" s="10" t="n"/>
      <c r="AG202" s="10" t="n"/>
      <c r="AH202" s="10" t="n"/>
      <c r="AI202" s="10" t="n"/>
      <c r="AJ202" s="10" t="n"/>
      <c r="AK202" s="10" t="n"/>
      <c r="AL202" s="10" t="n"/>
      <c r="AM202" s="10" t="inlineStr">
        <is>
          <t>No</t>
        </is>
      </c>
      <c r="AN202" s="10" t="n"/>
      <c r="AO202" s="10" t="n"/>
      <c r="AP202" s="10">
        <f>IF(AND(AC202&lt;&gt;"",AO202&lt;&gt;"",AO202&gt;0),AC202/AO202,"")</f>
        <v/>
      </c>
      <c r="AQ202" s="10">
        <f>IF(AP202="","",IF(AP202&gt;=2,"A",IF(AP202&gt;=1.2,"B",IF(AP202&gt;=0.6,"C","D"))))</f>
        <v/>
      </c>
      <c r="AR202" s="10" t="inlineStr"/>
      <c r="AS202" s="11" t="inlineStr"/>
      <c r="AT202" s="10" t="inlineStr"/>
    </row>
    <row r="203">
      <c r="A203" s="10" t="inlineStr">
        <is>
          <t>W11-U1-X</t>
        </is>
      </c>
      <c r="B203" s="10" t="inlineStr">
        <is>
          <t>W11-U1</t>
        </is>
      </c>
      <c r="C203" s="10" t="n">
        <v>11</v>
      </c>
      <c r="D203" s="11" t="n">
        <v>46307</v>
      </c>
      <c r="E203" s="10" t="inlineStr">
        <is>
          <t>Monday</t>
        </is>
      </c>
      <c r="F203" s="10" t="inlineStr">
        <is>
          <t>Farah / Ray</t>
        </is>
      </c>
      <c r="G203" s="10" t="inlineStr">
        <is>
          <t>One system, every register, every location.</t>
        </is>
      </c>
      <c r="H203" s="10" t="inlineStr">
        <is>
          <t>Educate</t>
        </is>
      </c>
      <c r="I203" s="10" t="inlineStr">
        <is>
          <t>Text</t>
        </is>
      </c>
      <c r="J203" s="10" t="inlineStr">
        <is>
          <t>X</t>
        </is>
      </c>
      <c r="K203" s="10" t="inlineStr">
        <is>
          <t>Mirror</t>
        </is>
      </c>
      <c r="L203" s="10" t="inlineStr">
        <is>
          <t>A day in a convenience/smoke shop running RetailzPOS</t>
        </is>
      </c>
      <c r="M203" s="10" t="inlineStr">
        <is>
          <t>Read more (link)</t>
        </is>
      </c>
      <c r="N203" s="10" t="inlineStr">
        <is>
          <t>No</t>
        </is>
      </c>
      <c r="O203" s="10" t="inlineStr">
        <is>
          <t>No</t>
        </is>
      </c>
      <c r="P203" s="10" t="inlineStr">
        <is>
          <t>Not started</t>
        </is>
      </c>
      <c r="Q203" s="10" t="inlineStr">
        <is>
          <t>Not started</t>
        </is>
      </c>
      <c r="R203" s="10" t="inlineStr"/>
      <c r="S203" s="10" t="inlineStr"/>
      <c r="T203" s="10" t="inlineStr"/>
      <c r="U203" s="10" t="n"/>
      <c r="V203" s="10">
        <f>IF(U203="","",IF(U203&gt;=70,"Pass","Hold"))</f>
        <v/>
      </c>
      <c r="W203" s="11" t="n">
        <v>46307</v>
      </c>
      <c r="X203" s="10" t="inlineStr">
        <is>
          <t>10:00 AM</t>
        </is>
      </c>
      <c r="Y203" s="10" t="inlineStr">
        <is>
          <t>Scheduled</t>
        </is>
      </c>
      <c r="Z203" s="11" t="n"/>
      <c r="AA203" s="10" t="inlineStr"/>
      <c r="AB203" s="10" t="inlineStr"/>
      <c r="AC203" s="10" t="n"/>
      <c r="AD203" s="10" t="n"/>
      <c r="AE203" s="10" t="n"/>
      <c r="AF203" s="10" t="n"/>
      <c r="AG203" s="10" t="n"/>
      <c r="AH203" s="10" t="n"/>
      <c r="AI203" s="10" t="n"/>
      <c r="AJ203" s="10" t="n"/>
      <c r="AK203" s="10" t="n"/>
      <c r="AL203" s="10" t="n"/>
      <c r="AM203" s="10" t="inlineStr">
        <is>
          <t>No</t>
        </is>
      </c>
      <c r="AN203" s="10" t="n"/>
      <c r="AO203" s="10" t="n"/>
      <c r="AP203" s="10">
        <f>IF(AND(AC203&lt;&gt;"",AO203&lt;&gt;"",AO203&gt;0),AC203/AO203,"")</f>
        <v/>
      </c>
      <c r="AQ203" s="10">
        <f>IF(AP203="","",IF(AP203&gt;=2,"A",IF(AP203&gt;=1.2,"B",IF(AP203&gt;=0.6,"C","D"))))</f>
        <v/>
      </c>
      <c r="AR203" s="10" t="inlineStr"/>
      <c r="AS203" s="11" t="inlineStr"/>
      <c r="AT203" s="10" t="inlineStr"/>
    </row>
    <row r="204">
      <c r="A204" s="10" t="inlineStr">
        <is>
          <t>W11-U2-IN</t>
        </is>
      </c>
      <c r="B204" s="10" t="inlineStr">
        <is>
          <t>W11-U2</t>
        </is>
      </c>
      <c r="C204" s="10" t="n">
        <v>11</v>
      </c>
      <c r="D204" s="11" t="n">
        <v>46308</v>
      </c>
      <c r="E204" s="10" t="inlineStr">
        <is>
          <t>Tuesday</t>
        </is>
      </c>
      <c r="F204" s="10" t="inlineStr">
        <is>
          <t>Farah / Ray</t>
        </is>
      </c>
      <c r="G204" s="10" t="inlineStr">
        <is>
          <t>One system, every register, every location.</t>
        </is>
      </c>
      <c r="H204" s="10" t="inlineStr">
        <is>
          <t>Educate</t>
        </is>
      </c>
      <c r="I204" s="10" t="inlineStr">
        <is>
          <t>Carousel</t>
        </is>
      </c>
      <c r="J204" s="10" t="inlineStr">
        <is>
          <t>Instagram</t>
        </is>
      </c>
      <c r="K204" s="10" t="inlineStr">
        <is>
          <t>Primary</t>
        </is>
      </c>
      <c r="L204" s="10" t="inlineStr">
        <is>
          <t>The whole day, high-volume edition</t>
        </is>
      </c>
      <c r="M204" s="10" t="inlineStr">
        <is>
          <t>Book a demo</t>
        </is>
      </c>
      <c r="N204" s="10" t="inlineStr">
        <is>
          <t>No</t>
        </is>
      </c>
      <c r="O204" s="10" t="inlineStr">
        <is>
          <t>No</t>
        </is>
      </c>
      <c r="P204" s="10" t="inlineStr">
        <is>
          <t>Not started</t>
        </is>
      </c>
      <c r="Q204" s="10" t="inlineStr">
        <is>
          <t>Not started</t>
        </is>
      </c>
      <c r="R204" s="10" t="inlineStr"/>
      <c r="S204" s="10" t="inlineStr"/>
      <c r="T204" s="10" t="inlineStr"/>
      <c r="U204" s="10" t="n"/>
      <c r="V204" s="10">
        <f>IF(U204="","",IF(U204&gt;=70,"Pass","Hold"))</f>
        <v/>
      </c>
      <c r="W204" s="11" t="n">
        <v>46308</v>
      </c>
      <c r="X204" s="10" t="inlineStr">
        <is>
          <t>10:00 AM</t>
        </is>
      </c>
      <c r="Y204" s="10" t="inlineStr">
        <is>
          <t>Scheduled</t>
        </is>
      </c>
      <c r="Z204" s="11" t="n"/>
      <c r="AA204" s="10" t="inlineStr"/>
      <c r="AB204" s="10" t="inlineStr"/>
      <c r="AC204" s="10" t="n"/>
      <c r="AD204" s="10" t="n"/>
      <c r="AE204" s="10" t="n"/>
      <c r="AF204" s="10" t="n"/>
      <c r="AG204" s="10" t="n"/>
      <c r="AH204" s="10" t="n"/>
      <c r="AI204" s="10" t="n"/>
      <c r="AJ204" s="10" t="n"/>
      <c r="AK204" s="10" t="n"/>
      <c r="AL204" s="10" t="n"/>
      <c r="AM204" s="10" t="inlineStr">
        <is>
          <t>No</t>
        </is>
      </c>
      <c r="AN204" s="10" t="n"/>
      <c r="AO204" s="10" t="n"/>
      <c r="AP204" s="10">
        <f>IF(AND(AC204&lt;&gt;"",AO204&lt;&gt;"",AO204&gt;0),AC204/AO204,"")</f>
        <v/>
      </c>
      <c r="AQ204" s="10">
        <f>IF(AP204="","",IF(AP204&gt;=2,"A",IF(AP204&gt;=1.2,"B",IF(AP204&gt;=0.6,"C","D"))))</f>
        <v/>
      </c>
      <c r="AR204" s="10" t="inlineStr"/>
      <c r="AS204" s="11" t="inlineStr"/>
      <c r="AT204" s="10" t="inlineStr"/>
    </row>
    <row r="205">
      <c r="A205" s="10" t="inlineStr">
        <is>
          <t>W11-U2-FA</t>
        </is>
      </c>
      <c r="B205" s="10" t="inlineStr">
        <is>
          <t>W11-U2</t>
        </is>
      </c>
      <c r="C205" s="10" t="n">
        <v>11</v>
      </c>
      <c r="D205" s="11" t="n">
        <v>46308</v>
      </c>
      <c r="E205" s="10" t="inlineStr">
        <is>
          <t>Tuesday</t>
        </is>
      </c>
      <c r="F205" s="10" t="inlineStr">
        <is>
          <t>Farah / Ray</t>
        </is>
      </c>
      <c r="G205" s="10" t="inlineStr">
        <is>
          <t>One system, every register, every location.</t>
        </is>
      </c>
      <c r="H205" s="10" t="inlineStr">
        <is>
          <t>Educate</t>
        </is>
      </c>
      <c r="I205" s="10" t="inlineStr">
        <is>
          <t>Carousel</t>
        </is>
      </c>
      <c r="J205" s="10" t="inlineStr">
        <is>
          <t>Facebook</t>
        </is>
      </c>
      <c r="K205" s="10" t="inlineStr">
        <is>
          <t>Mirror</t>
        </is>
      </c>
      <c r="L205" s="10" t="inlineStr">
        <is>
          <t>The whole day, high-volume edition</t>
        </is>
      </c>
      <c r="M205" s="10" t="inlineStr">
        <is>
          <t>Book a demo</t>
        </is>
      </c>
      <c r="N205" s="10" t="inlineStr">
        <is>
          <t>No</t>
        </is>
      </c>
      <c r="O205" s="10" t="inlineStr">
        <is>
          <t>No</t>
        </is>
      </c>
      <c r="P205" s="10" t="inlineStr">
        <is>
          <t>Not started</t>
        </is>
      </c>
      <c r="Q205" s="10" t="inlineStr">
        <is>
          <t>Not started</t>
        </is>
      </c>
      <c r="R205" s="10" t="inlineStr"/>
      <c r="S205" s="10" t="inlineStr"/>
      <c r="T205" s="10" t="inlineStr"/>
      <c r="U205" s="10" t="n"/>
      <c r="V205" s="10">
        <f>IF(U205="","",IF(U205&gt;=70,"Pass","Hold"))</f>
        <v/>
      </c>
      <c r="W205" s="11" t="n">
        <v>46308</v>
      </c>
      <c r="X205" s="10" t="inlineStr">
        <is>
          <t>10:00 AM</t>
        </is>
      </c>
      <c r="Y205" s="10" t="inlineStr">
        <is>
          <t>Scheduled</t>
        </is>
      </c>
      <c r="Z205" s="11" t="n"/>
      <c r="AA205" s="10" t="inlineStr"/>
      <c r="AB205" s="10" t="inlineStr"/>
      <c r="AC205" s="10" t="n"/>
      <c r="AD205" s="10" t="n"/>
      <c r="AE205" s="10" t="n"/>
      <c r="AF205" s="10" t="n"/>
      <c r="AG205" s="10" t="n"/>
      <c r="AH205" s="10" t="n"/>
      <c r="AI205" s="10" t="n"/>
      <c r="AJ205" s="10" t="n"/>
      <c r="AK205" s="10" t="n"/>
      <c r="AL205" s="10" t="n"/>
      <c r="AM205" s="10" t="inlineStr">
        <is>
          <t>No</t>
        </is>
      </c>
      <c r="AN205" s="10" t="n"/>
      <c r="AO205" s="10" t="n"/>
      <c r="AP205" s="10">
        <f>IF(AND(AC205&lt;&gt;"",AO205&lt;&gt;"",AO205&gt;0),AC205/AO205,"")</f>
        <v/>
      </c>
      <c r="AQ205" s="10">
        <f>IF(AP205="","",IF(AP205&gt;=2,"A",IF(AP205&gt;=1.2,"B",IF(AP205&gt;=0.6,"C","D"))))</f>
        <v/>
      </c>
      <c r="AR205" s="10" t="inlineStr"/>
      <c r="AS205" s="11" t="inlineStr"/>
      <c r="AT205" s="10" t="inlineStr"/>
    </row>
    <row r="206">
      <c r="A206" s="10" t="inlineStr">
        <is>
          <t>W11-U2-LI</t>
        </is>
      </c>
      <c r="B206" s="10" t="inlineStr">
        <is>
          <t>W11-U2</t>
        </is>
      </c>
      <c r="C206" s="10" t="n">
        <v>11</v>
      </c>
      <c r="D206" s="11" t="n">
        <v>46308</v>
      </c>
      <c r="E206" s="10" t="inlineStr">
        <is>
          <t>Tuesday</t>
        </is>
      </c>
      <c r="F206" s="10" t="inlineStr">
        <is>
          <t>Farah / Ray</t>
        </is>
      </c>
      <c r="G206" s="10" t="inlineStr">
        <is>
          <t>One system, every register, every location.</t>
        </is>
      </c>
      <c r="H206" s="10" t="inlineStr">
        <is>
          <t>Educate</t>
        </is>
      </c>
      <c r="I206" s="10" t="inlineStr">
        <is>
          <t>Carousel</t>
        </is>
      </c>
      <c r="J206" s="10" t="inlineStr">
        <is>
          <t>LinkedIn</t>
        </is>
      </c>
      <c r="K206" s="10" t="inlineStr">
        <is>
          <t>Adapted</t>
        </is>
      </c>
      <c r="L206" s="10" t="inlineStr">
        <is>
          <t>The whole day, high-volume edition</t>
        </is>
      </c>
      <c r="M206" s="10" t="inlineStr">
        <is>
          <t>Book a demo</t>
        </is>
      </c>
      <c r="N206" s="10" t="inlineStr">
        <is>
          <t>No</t>
        </is>
      </c>
      <c r="O206" s="10" t="inlineStr">
        <is>
          <t>No</t>
        </is>
      </c>
      <c r="P206" s="10" t="inlineStr">
        <is>
          <t>Not started</t>
        </is>
      </c>
      <c r="Q206" s="10" t="inlineStr">
        <is>
          <t>Not started</t>
        </is>
      </c>
      <c r="R206" s="10" t="inlineStr"/>
      <c r="S206" s="10" t="inlineStr"/>
      <c r="T206" s="10" t="inlineStr"/>
      <c r="U206" s="10" t="n"/>
      <c r="V206" s="10">
        <f>IF(U206="","",IF(U206&gt;=70,"Pass","Hold"))</f>
        <v/>
      </c>
      <c r="W206" s="11" t="n">
        <v>46308</v>
      </c>
      <c r="X206" s="10" t="inlineStr">
        <is>
          <t>10:00 AM</t>
        </is>
      </c>
      <c r="Y206" s="10" t="inlineStr">
        <is>
          <t>Scheduled</t>
        </is>
      </c>
      <c r="Z206" s="11" t="n"/>
      <c r="AA206" s="10" t="inlineStr"/>
      <c r="AB206" s="10" t="inlineStr"/>
      <c r="AC206" s="10" t="n"/>
      <c r="AD206" s="10" t="n"/>
      <c r="AE206" s="10" t="n"/>
      <c r="AF206" s="10" t="n"/>
      <c r="AG206" s="10" t="n"/>
      <c r="AH206" s="10" t="n"/>
      <c r="AI206" s="10" t="n"/>
      <c r="AJ206" s="10" t="n"/>
      <c r="AK206" s="10" t="n"/>
      <c r="AL206" s="10" t="n"/>
      <c r="AM206" s="10" t="inlineStr">
        <is>
          <t>No</t>
        </is>
      </c>
      <c r="AN206" s="10" t="n"/>
      <c r="AO206" s="10" t="n"/>
      <c r="AP206" s="10">
        <f>IF(AND(AC206&lt;&gt;"",AO206&lt;&gt;"",AO206&gt;0),AC206/AO206,"")</f>
        <v/>
      </c>
      <c r="AQ206" s="10">
        <f>IF(AP206="","",IF(AP206&gt;=2,"A",IF(AP206&gt;=1.2,"B",IF(AP206&gt;=0.6,"C","D"))))</f>
        <v/>
      </c>
      <c r="AR206" s="10" t="inlineStr"/>
      <c r="AS206" s="11" t="inlineStr"/>
      <c r="AT206" s="10" t="inlineStr"/>
    </row>
    <row r="207">
      <c r="A207" s="10" t="inlineStr">
        <is>
          <t>W11-U3-IN</t>
        </is>
      </c>
      <c r="B207" s="10" t="inlineStr">
        <is>
          <t>W11-U3</t>
        </is>
      </c>
      <c r="C207" s="10" t="n">
        <v>11</v>
      </c>
      <c r="D207" s="11" t="n">
        <v>46309</v>
      </c>
      <c r="E207" s="10" t="inlineStr">
        <is>
          <t>Wednesday</t>
        </is>
      </c>
      <c r="F207" s="10" t="inlineStr">
        <is>
          <t>Farah / Ray</t>
        </is>
      </c>
      <c r="G207" s="10" t="inlineStr">
        <is>
          <t>One system, every register, every location.</t>
        </is>
      </c>
      <c r="H207" s="10" t="inlineStr">
        <is>
          <t>Inspire</t>
        </is>
      </c>
      <c r="I207" s="10" t="inlineStr">
        <is>
          <t>Video</t>
        </is>
      </c>
      <c r="J207" s="10" t="inlineStr">
        <is>
          <t>Instagram</t>
        </is>
      </c>
      <c r="K207" s="10" t="inlineStr">
        <is>
          <t>Primary</t>
        </is>
      </c>
      <c r="L207" s="10" t="inlineStr">
        <is>
          <t>The full day, high-volume edition</t>
        </is>
      </c>
      <c r="M207" s="10" t="inlineStr">
        <is>
          <t>Book a demo</t>
        </is>
      </c>
      <c r="N207" s="10" t="inlineStr">
        <is>
          <t>No</t>
        </is>
      </c>
      <c r="O207" s="10" t="inlineStr">
        <is>
          <t>No</t>
        </is>
      </c>
      <c r="P207" s="10" t="inlineStr">
        <is>
          <t>Not started</t>
        </is>
      </c>
      <c r="Q207" s="10" t="inlineStr">
        <is>
          <t>Not started</t>
        </is>
      </c>
      <c r="R207" s="10" t="inlineStr"/>
      <c r="S207" s="10" t="inlineStr"/>
      <c r="T207" s="10" t="inlineStr"/>
      <c r="U207" s="10" t="n"/>
      <c r="V207" s="10">
        <f>IF(U207="","",IF(U207&gt;=70,"Pass","Hold"))</f>
        <v/>
      </c>
      <c r="W207" s="11" t="n">
        <v>46309</v>
      </c>
      <c r="X207" s="10" t="inlineStr">
        <is>
          <t>10:00 AM</t>
        </is>
      </c>
      <c r="Y207" s="10" t="inlineStr">
        <is>
          <t>Scheduled</t>
        </is>
      </c>
      <c r="Z207" s="11" t="n"/>
      <c r="AA207" s="10" t="inlineStr"/>
      <c r="AB207" s="10" t="inlineStr"/>
      <c r="AC207" s="10" t="n"/>
      <c r="AD207" s="10" t="n"/>
      <c r="AE207" s="10" t="n"/>
      <c r="AF207" s="10" t="n"/>
      <c r="AG207" s="10" t="n"/>
      <c r="AH207" s="10" t="n"/>
      <c r="AI207" s="10" t="n"/>
      <c r="AJ207" s="10" t="n"/>
      <c r="AK207" s="10" t="n"/>
      <c r="AL207" s="10" t="n"/>
      <c r="AM207" s="10" t="inlineStr">
        <is>
          <t>No</t>
        </is>
      </c>
      <c r="AN207" s="10" t="n"/>
      <c r="AO207" s="10" t="n"/>
      <c r="AP207" s="10">
        <f>IF(AND(AC207&lt;&gt;"",AO207&lt;&gt;"",AO207&gt;0),AC207/AO207,"")</f>
        <v/>
      </c>
      <c r="AQ207" s="10">
        <f>IF(AP207="","",IF(AP207&gt;=2,"A",IF(AP207&gt;=1.2,"B",IF(AP207&gt;=0.6,"C","D"))))</f>
        <v/>
      </c>
      <c r="AR207" s="10" t="inlineStr"/>
      <c r="AS207" s="11" t="inlineStr"/>
      <c r="AT207" s="10" t="inlineStr"/>
    </row>
    <row r="208">
      <c r="A208" s="10" t="inlineStr">
        <is>
          <t>W11-U3-FA</t>
        </is>
      </c>
      <c r="B208" s="10" t="inlineStr">
        <is>
          <t>W11-U3</t>
        </is>
      </c>
      <c r="C208" s="10" t="n">
        <v>11</v>
      </c>
      <c r="D208" s="11" t="n">
        <v>46309</v>
      </c>
      <c r="E208" s="10" t="inlineStr">
        <is>
          <t>Wednesday</t>
        </is>
      </c>
      <c r="F208" s="10" t="inlineStr">
        <is>
          <t>Farah / Ray</t>
        </is>
      </c>
      <c r="G208" s="10" t="inlineStr">
        <is>
          <t>One system, every register, every location.</t>
        </is>
      </c>
      <c r="H208" s="10" t="inlineStr">
        <is>
          <t>Inspire</t>
        </is>
      </c>
      <c r="I208" s="10" t="inlineStr">
        <is>
          <t>Video</t>
        </is>
      </c>
      <c r="J208" s="10" t="inlineStr">
        <is>
          <t>Facebook</t>
        </is>
      </c>
      <c r="K208" s="10" t="inlineStr">
        <is>
          <t>Mirror</t>
        </is>
      </c>
      <c r="L208" s="10" t="inlineStr">
        <is>
          <t>The full day, high-volume edition</t>
        </is>
      </c>
      <c r="M208" s="10" t="inlineStr">
        <is>
          <t>Book a demo</t>
        </is>
      </c>
      <c r="N208" s="10" t="inlineStr">
        <is>
          <t>No</t>
        </is>
      </c>
      <c r="O208" s="10" t="inlineStr">
        <is>
          <t>No</t>
        </is>
      </c>
      <c r="P208" s="10" t="inlineStr">
        <is>
          <t>Not started</t>
        </is>
      </c>
      <c r="Q208" s="10" t="inlineStr">
        <is>
          <t>Not started</t>
        </is>
      </c>
      <c r="R208" s="10" t="inlineStr"/>
      <c r="S208" s="10" t="inlineStr"/>
      <c r="T208" s="10" t="inlineStr"/>
      <c r="U208" s="10" t="n"/>
      <c r="V208" s="10">
        <f>IF(U208="","",IF(U208&gt;=70,"Pass","Hold"))</f>
        <v/>
      </c>
      <c r="W208" s="11" t="n">
        <v>46309</v>
      </c>
      <c r="X208" s="10" t="inlineStr">
        <is>
          <t>10:00 AM</t>
        </is>
      </c>
      <c r="Y208" s="10" t="inlineStr">
        <is>
          <t>Scheduled</t>
        </is>
      </c>
      <c r="Z208" s="11" t="n"/>
      <c r="AA208" s="10" t="inlineStr"/>
      <c r="AB208" s="10" t="inlineStr"/>
      <c r="AC208" s="10" t="n"/>
      <c r="AD208" s="10" t="n"/>
      <c r="AE208" s="10" t="n"/>
      <c r="AF208" s="10" t="n"/>
      <c r="AG208" s="10" t="n"/>
      <c r="AH208" s="10" t="n"/>
      <c r="AI208" s="10" t="n"/>
      <c r="AJ208" s="10" t="n"/>
      <c r="AK208" s="10" t="n"/>
      <c r="AL208" s="10" t="n"/>
      <c r="AM208" s="10" t="inlineStr">
        <is>
          <t>No</t>
        </is>
      </c>
      <c r="AN208" s="10" t="n"/>
      <c r="AO208" s="10" t="n"/>
      <c r="AP208" s="10">
        <f>IF(AND(AC208&lt;&gt;"",AO208&lt;&gt;"",AO208&gt;0),AC208/AO208,"")</f>
        <v/>
      </c>
      <c r="AQ208" s="10">
        <f>IF(AP208="","",IF(AP208&gt;=2,"A",IF(AP208&gt;=1.2,"B",IF(AP208&gt;=0.6,"C","D"))))</f>
        <v/>
      </c>
      <c r="AR208" s="10" t="inlineStr"/>
      <c r="AS208" s="11" t="inlineStr"/>
      <c r="AT208" s="10" t="inlineStr"/>
    </row>
    <row r="209">
      <c r="A209" s="10" t="inlineStr">
        <is>
          <t>W11-U3-TI</t>
        </is>
      </c>
      <c r="B209" s="10" t="inlineStr">
        <is>
          <t>W11-U3</t>
        </is>
      </c>
      <c r="C209" s="10" t="n">
        <v>11</v>
      </c>
      <c r="D209" s="11" t="n">
        <v>46309</v>
      </c>
      <c r="E209" s="10" t="inlineStr">
        <is>
          <t>Wednesday</t>
        </is>
      </c>
      <c r="F209" s="10" t="inlineStr">
        <is>
          <t>Farah / Ray</t>
        </is>
      </c>
      <c r="G209" s="10" t="inlineStr">
        <is>
          <t>One system, every register, every location.</t>
        </is>
      </c>
      <c r="H209" s="10" t="inlineStr">
        <is>
          <t>Inspire</t>
        </is>
      </c>
      <c r="I209" s="10" t="inlineStr">
        <is>
          <t>Video</t>
        </is>
      </c>
      <c r="J209" s="10" t="inlineStr">
        <is>
          <t>TikTok</t>
        </is>
      </c>
      <c r="K209" s="10" t="inlineStr">
        <is>
          <t>Adapted</t>
        </is>
      </c>
      <c r="L209" s="10" t="inlineStr">
        <is>
          <t>The full day, high-volume edition</t>
        </is>
      </c>
      <c r="M209" s="10" t="inlineStr">
        <is>
          <t>Book a demo</t>
        </is>
      </c>
      <c r="N209" s="10" t="inlineStr">
        <is>
          <t>No</t>
        </is>
      </c>
      <c r="O209" s="10" t="inlineStr">
        <is>
          <t>No</t>
        </is>
      </c>
      <c r="P209" s="10" t="inlineStr">
        <is>
          <t>Not started</t>
        </is>
      </c>
      <c r="Q209" s="10" t="inlineStr">
        <is>
          <t>Not started</t>
        </is>
      </c>
      <c r="R209" s="10" t="inlineStr"/>
      <c r="S209" s="10" t="inlineStr"/>
      <c r="T209" s="10" t="inlineStr"/>
      <c r="U209" s="10" t="n"/>
      <c r="V209" s="10">
        <f>IF(U209="","",IF(U209&gt;=70,"Pass","Hold"))</f>
        <v/>
      </c>
      <c r="W209" s="11" t="n">
        <v>46309</v>
      </c>
      <c r="X209" s="10" t="inlineStr">
        <is>
          <t>10:00 AM</t>
        </is>
      </c>
      <c r="Y209" s="10" t="inlineStr">
        <is>
          <t>Scheduled</t>
        </is>
      </c>
      <c r="Z209" s="11" t="n"/>
      <c r="AA209" s="10" t="inlineStr"/>
      <c r="AB209" s="10" t="inlineStr"/>
      <c r="AC209" s="10" t="n"/>
      <c r="AD209" s="10" t="n"/>
      <c r="AE209" s="10" t="n"/>
      <c r="AF209" s="10" t="n"/>
      <c r="AG209" s="10" t="n"/>
      <c r="AH209" s="10" t="n"/>
      <c r="AI209" s="10" t="n"/>
      <c r="AJ209" s="10" t="n"/>
      <c r="AK209" s="10" t="n"/>
      <c r="AL209" s="10" t="n"/>
      <c r="AM209" s="10" t="inlineStr">
        <is>
          <t>No</t>
        </is>
      </c>
      <c r="AN209" s="10" t="n"/>
      <c r="AO209" s="10" t="n"/>
      <c r="AP209" s="10">
        <f>IF(AND(AC209&lt;&gt;"",AO209&lt;&gt;"",AO209&gt;0),AC209/AO209,"")</f>
        <v/>
      </c>
      <c r="AQ209" s="10">
        <f>IF(AP209="","",IF(AP209&gt;=2,"A",IF(AP209&gt;=1.2,"B",IF(AP209&gt;=0.6,"C","D"))))</f>
        <v/>
      </c>
      <c r="AR209" s="10" t="inlineStr"/>
      <c r="AS209" s="11" t="inlineStr"/>
      <c r="AT209" s="10" t="inlineStr"/>
    </row>
    <row r="210">
      <c r="A210" s="10" t="inlineStr">
        <is>
          <t>W11-U4-LI</t>
        </is>
      </c>
      <c r="B210" s="10" t="inlineStr">
        <is>
          <t>W11-U4</t>
        </is>
      </c>
      <c r="C210" s="10" t="n">
        <v>11</v>
      </c>
      <c r="D210" s="11" t="n">
        <v>46310</v>
      </c>
      <c r="E210" s="10" t="inlineStr">
        <is>
          <t>Thursday</t>
        </is>
      </c>
      <c r="F210" s="10" t="inlineStr">
        <is>
          <t>Farah / Ray</t>
        </is>
      </c>
      <c r="G210" s="10" t="inlineStr">
        <is>
          <t>Every case, every bottle, every SKU — accounted for.</t>
        </is>
      </c>
      <c r="H210" s="10" t="inlineStr">
        <is>
          <t>Educate</t>
        </is>
      </c>
      <c r="I210" s="10" t="inlineStr">
        <is>
          <t>Static</t>
        </is>
      </c>
      <c r="J210" s="10" t="inlineStr">
        <is>
          <t>LinkedIn</t>
        </is>
      </c>
      <c r="K210" s="10" t="inlineStr">
        <is>
          <t>Primary</t>
        </is>
      </c>
      <c r="L210" s="10" t="inlineStr">
        <is>
          <t>Every feature, high-volume edition</t>
        </is>
      </c>
      <c r="M210" s="10" t="inlineStr">
        <is>
          <t>Book a demo</t>
        </is>
      </c>
      <c r="N210" s="10" t="inlineStr">
        <is>
          <t>No</t>
        </is>
      </c>
      <c r="O210" s="10" t="inlineStr">
        <is>
          <t>No</t>
        </is>
      </c>
      <c r="P210" s="10" t="inlineStr">
        <is>
          <t>Not started</t>
        </is>
      </c>
      <c r="Q210" s="10" t="inlineStr">
        <is>
          <t>Not started</t>
        </is>
      </c>
      <c r="R210" s="10" t="inlineStr"/>
      <c r="S210" s="10" t="inlineStr"/>
      <c r="T210" s="10" t="inlineStr"/>
      <c r="U210" s="10" t="n"/>
      <c r="V210" s="10">
        <f>IF(U210="","",IF(U210&gt;=70,"Pass","Hold"))</f>
        <v/>
      </c>
      <c r="W210" s="11" t="n">
        <v>46310</v>
      </c>
      <c r="X210" s="10" t="inlineStr">
        <is>
          <t>10:00 AM</t>
        </is>
      </c>
      <c r="Y210" s="10" t="inlineStr">
        <is>
          <t>Scheduled</t>
        </is>
      </c>
      <c r="Z210" s="11" t="n"/>
      <c r="AA210" s="10" t="inlineStr"/>
      <c r="AB210" s="10" t="inlineStr"/>
      <c r="AC210" s="10" t="n"/>
      <c r="AD210" s="10" t="n"/>
      <c r="AE210" s="10" t="n"/>
      <c r="AF210" s="10" t="n"/>
      <c r="AG210" s="10" t="n"/>
      <c r="AH210" s="10" t="n"/>
      <c r="AI210" s="10" t="n"/>
      <c r="AJ210" s="10" t="n"/>
      <c r="AK210" s="10" t="n"/>
      <c r="AL210" s="10" t="n"/>
      <c r="AM210" s="10" t="inlineStr">
        <is>
          <t>No</t>
        </is>
      </c>
      <c r="AN210" s="10" t="n"/>
      <c r="AO210" s="10" t="n"/>
      <c r="AP210" s="10">
        <f>IF(AND(AC210&lt;&gt;"",AO210&lt;&gt;"",AO210&gt;0),AC210/AO210,"")</f>
        <v/>
      </c>
      <c r="AQ210" s="10">
        <f>IF(AP210="","",IF(AP210&gt;=2,"A",IF(AP210&gt;=1.2,"B",IF(AP210&gt;=0.6,"C","D"))))</f>
        <v/>
      </c>
      <c r="AR210" s="10" t="inlineStr"/>
      <c r="AS210" s="11" t="inlineStr"/>
      <c r="AT210" s="10" t="inlineStr"/>
    </row>
    <row r="211">
      <c r="A211" s="10" t="inlineStr">
        <is>
          <t>W11-U4-FA</t>
        </is>
      </c>
      <c r="B211" s="10" t="inlineStr">
        <is>
          <t>W11-U4</t>
        </is>
      </c>
      <c r="C211" s="10" t="n">
        <v>11</v>
      </c>
      <c r="D211" s="11" t="n">
        <v>46310</v>
      </c>
      <c r="E211" s="10" t="inlineStr">
        <is>
          <t>Thursday</t>
        </is>
      </c>
      <c r="F211" s="10" t="inlineStr">
        <is>
          <t>Farah / Ray</t>
        </is>
      </c>
      <c r="G211" s="10" t="inlineStr">
        <is>
          <t>Every case, every bottle, every SKU — accounted for.</t>
        </is>
      </c>
      <c r="H211" s="10" t="inlineStr">
        <is>
          <t>Educate</t>
        </is>
      </c>
      <c r="I211" s="10" t="inlineStr">
        <is>
          <t>Static</t>
        </is>
      </c>
      <c r="J211" s="10" t="inlineStr">
        <is>
          <t>Facebook</t>
        </is>
      </c>
      <c r="K211" s="10" t="inlineStr">
        <is>
          <t>Mirror</t>
        </is>
      </c>
      <c r="L211" s="10" t="inlineStr">
        <is>
          <t>Every feature, high-volume edition</t>
        </is>
      </c>
      <c r="M211" s="10" t="inlineStr">
        <is>
          <t>Book a demo</t>
        </is>
      </c>
      <c r="N211" s="10" t="inlineStr">
        <is>
          <t>No</t>
        </is>
      </c>
      <c r="O211" s="10" t="inlineStr">
        <is>
          <t>No</t>
        </is>
      </c>
      <c r="P211" s="10" t="inlineStr">
        <is>
          <t>Not started</t>
        </is>
      </c>
      <c r="Q211" s="10" t="inlineStr">
        <is>
          <t>Not started</t>
        </is>
      </c>
      <c r="R211" s="10" t="inlineStr"/>
      <c r="S211" s="10" t="inlineStr"/>
      <c r="T211" s="10" t="inlineStr"/>
      <c r="U211" s="10" t="n"/>
      <c r="V211" s="10">
        <f>IF(U211="","",IF(U211&gt;=70,"Pass","Hold"))</f>
        <v/>
      </c>
      <c r="W211" s="11" t="n">
        <v>46310</v>
      </c>
      <c r="X211" s="10" t="inlineStr">
        <is>
          <t>10:00 AM</t>
        </is>
      </c>
      <c r="Y211" s="10" t="inlineStr">
        <is>
          <t>Scheduled</t>
        </is>
      </c>
      <c r="Z211" s="11" t="n"/>
      <c r="AA211" s="10" t="inlineStr"/>
      <c r="AB211" s="10" t="inlineStr"/>
      <c r="AC211" s="10" t="n"/>
      <c r="AD211" s="10" t="n"/>
      <c r="AE211" s="10" t="n"/>
      <c r="AF211" s="10" t="n"/>
      <c r="AG211" s="10" t="n"/>
      <c r="AH211" s="10" t="n"/>
      <c r="AI211" s="10" t="n"/>
      <c r="AJ211" s="10" t="n"/>
      <c r="AK211" s="10" t="n"/>
      <c r="AL211" s="10" t="n"/>
      <c r="AM211" s="10" t="inlineStr">
        <is>
          <t>No</t>
        </is>
      </c>
      <c r="AN211" s="10" t="n"/>
      <c r="AO211" s="10" t="n"/>
      <c r="AP211" s="10">
        <f>IF(AND(AC211&lt;&gt;"",AO211&lt;&gt;"",AO211&gt;0),AC211/AO211,"")</f>
        <v/>
      </c>
      <c r="AQ211" s="10">
        <f>IF(AP211="","",IF(AP211&gt;=2,"A",IF(AP211&gt;=1.2,"B",IF(AP211&gt;=0.6,"C","D"))))</f>
        <v/>
      </c>
      <c r="AR211" s="10" t="inlineStr"/>
      <c r="AS211" s="11" t="inlineStr"/>
      <c r="AT211" s="10" t="inlineStr"/>
    </row>
    <row r="212">
      <c r="A212" s="10" t="inlineStr">
        <is>
          <t>W11-U4-IN</t>
        </is>
      </c>
      <c r="B212" s="10" t="inlineStr">
        <is>
          <t>W11-U4</t>
        </is>
      </c>
      <c r="C212" s="10" t="n">
        <v>11</v>
      </c>
      <c r="D212" s="11" t="n">
        <v>46310</v>
      </c>
      <c r="E212" s="10" t="inlineStr">
        <is>
          <t>Thursday</t>
        </is>
      </c>
      <c r="F212" s="10" t="inlineStr">
        <is>
          <t>Farah / Ray</t>
        </is>
      </c>
      <c r="G212" s="10" t="inlineStr">
        <is>
          <t>Every case, every bottle, every SKU — accounted for.</t>
        </is>
      </c>
      <c r="H212" s="10" t="inlineStr">
        <is>
          <t>Educate</t>
        </is>
      </c>
      <c r="I212" s="10" t="inlineStr">
        <is>
          <t>Static</t>
        </is>
      </c>
      <c r="J212" s="10" t="inlineStr">
        <is>
          <t>Instagram</t>
        </is>
      </c>
      <c r="K212" s="10" t="inlineStr">
        <is>
          <t>Adapted</t>
        </is>
      </c>
      <c r="L212" s="10" t="inlineStr">
        <is>
          <t>Every feature, high-volume edition</t>
        </is>
      </c>
      <c r="M212" s="10" t="inlineStr">
        <is>
          <t>Book a demo</t>
        </is>
      </c>
      <c r="N212" s="10" t="inlineStr">
        <is>
          <t>No</t>
        </is>
      </c>
      <c r="O212" s="10" t="inlineStr">
        <is>
          <t>No</t>
        </is>
      </c>
      <c r="P212" s="10" t="inlineStr">
        <is>
          <t>Not started</t>
        </is>
      </c>
      <c r="Q212" s="10" t="inlineStr">
        <is>
          <t>Not started</t>
        </is>
      </c>
      <c r="R212" s="10" t="inlineStr"/>
      <c r="S212" s="10" t="inlineStr"/>
      <c r="T212" s="10" t="inlineStr"/>
      <c r="U212" s="10" t="n"/>
      <c r="V212" s="10">
        <f>IF(U212="","",IF(U212&gt;=70,"Pass","Hold"))</f>
        <v/>
      </c>
      <c r="W212" s="11" t="n">
        <v>46310</v>
      </c>
      <c r="X212" s="10" t="inlineStr">
        <is>
          <t>10:00 AM</t>
        </is>
      </c>
      <c r="Y212" s="10" t="inlineStr">
        <is>
          <t>Scheduled</t>
        </is>
      </c>
      <c r="Z212" s="11" t="n"/>
      <c r="AA212" s="10" t="inlineStr"/>
      <c r="AB212" s="10" t="inlineStr"/>
      <c r="AC212" s="10" t="n"/>
      <c r="AD212" s="10" t="n"/>
      <c r="AE212" s="10" t="n"/>
      <c r="AF212" s="10" t="n"/>
      <c r="AG212" s="10" t="n"/>
      <c r="AH212" s="10" t="n"/>
      <c r="AI212" s="10" t="n"/>
      <c r="AJ212" s="10" t="n"/>
      <c r="AK212" s="10" t="n"/>
      <c r="AL212" s="10" t="n"/>
      <c r="AM212" s="10" t="inlineStr">
        <is>
          <t>No</t>
        </is>
      </c>
      <c r="AN212" s="10" t="n"/>
      <c r="AO212" s="10" t="n"/>
      <c r="AP212" s="10">
        <f>IF(AND(AC212&lt;&gt;"",AO212&lt;&gt;"",AO212&gt;0),AC212/AO212,"")</f>
        <v/>
      </c>
      <c r="AQ212" s="10">
        <f>IF(AP212="","",IF(AP212&gt;=2,"A",IF(AP212&gt;=1.2,"B",IF(AP212&gt;=0.6,"C","D"))))</f>
        <v/>
      </c>
      <c r="AR212" s="10" t="inlineStr"/>
      <c r="AS212" s="11" t="inlineStr"/>
      <c r="AT212" s="10" t="inlineStr"/>
    </row>
    <row r="213">
      <c r="A213" s="10" t="inlineStr">
        <is>
          <t>W11-U5-IN</t>
        </is>
      </c>
      <c r="B213" s="10" t="inlineStr">
        <is>
          <t>W11-U5</t>
        </is>
      </c>
      <c r="C213" s="10" t="n">
        <v>11</v>
      </c>
      <c r="D213" s="11" t="n">
        <v>46311</v>
      </c>
      <c r="E213" s="10" t="inlineStr">
        <is>
          <t>Friday</t>
        </is>
      </c>
      <c r="F213" s="10" t="inlineStr">
        <is>
          <t>Farah / Ray</t>
        </is>
      </c>
      <c r="G213" s="10" t="inlineStr">
        <is>
          <t>One system, every register, every location.</t>
        </is>
      </c>
      <c r="H213" s="10" t="inlineStr">
        <is>
          <t>Engage</t>
        </is>
      </c>
      <c r="I213" s="10" t="inlineStr">
        <is>
          <t>Text</t>
        </is>
      </c>
      <c r="J213" s="10" t="inlineStr">
        <is>
          <t>Instagram</t>
        </is>
      </c>
      <c r="K213" s="10" t="inlineStr">
        <is>
          <t>Primary</t>
        </is>
      </c>
      <c r="L213" s="10" t="inlineStr">
        <is>
          <t>Staff turnover: how bad is it, really?</t>
        </is>
      </c>
      <c r="M213" s="10" t="inlineStr">
        <is>
          <t>Engage (vote)</t>
        </is>
      </c>
      <c r="N213" s="10" t="inlineStr">
        <is>
          <t>No</t>
        </is>
      </c>
      <c r="O213" s="10" t="inlineStr">
        <is>
          <t>No</t>
        </is>
      </c>
      <c r="P213" s="10" t="inlineStr">
        <is>
          <t>Not started</t>
        </is>
      </c>
      <c r="Q213" s="10" t="inlineStr">
        <is>
          <t>Not started</t>
        </is>
      </c>
      <c r="R213" s="10" t="inlineStr"/>
      <c r="S213" s="10" t="inlineStr"/>
      <c r="T213" s="10" t="inlineStr"/>
      <c r="U213" s="10" t="n"/>
      <c r="V213" s="10">
        <f>IF(U213="","",IF(U213&gt;=70,"Pass","Hold"))</f>
        <v/>
      </c>
      <c r="W213" s="11" t="n">
        <v>46311</v>
      </c>
      <c r="X213" s="10" t="inlineStr">
        <is>
          <t>10:00 AM</t>
        </is>
      </c>
      <c r="Y213" s="10" t="inlineStr">
        <is>
          <t>Scheduled</t>
        </is>
      </c>
      <c r="Z213" s="11" t="n"/>
      <c r="AA213" s="10" t="inlineStr"/>
      <c r="AB213" s="10" t="inlineStr"/>
      <c r="AC213" s="10" t="n"/>
      <c r="AD213" s="10" t="n"/>
      <c r="AE213" s="10" t="n"/>
      <c r="AF213" s="10" t="n"/>
      <c r="AG213" s="10" t="n"/>
      <c r="AH213" s="10" t="n"/>
      <c r="AI213" s="10" t="n"/>
      <c r="AJ213" s="10" t="n"/>
      <c r="AK213" s="10" t="n"/>
      <c r="AL213" s="10" t="n"/>
      <c r="AM213" s="10" t="inlineStr">
        <is>
          <t>No</t>
        </is>
      </c>
      <c r="AN213" s="10" t="n"/>
      <c r="AO213" s="10" t="n"/>
      <c r="AP213" s="10">
        <f>IF(AND(AC213&lt;&gt;"",AO213&lt;&gt;"",AO213&gt;0),AC213/AO213,"")</f>
        <v/>
      </c>
      <c r="AQ213" s="10">
        <f>IF(AP213="","",IF(AP213&gt;=2,"A",IF(AP213&gt;=1.2,"B",IF(AP213&gt;=0.6,"C","D"))))</f>
        <v/>
      </c>
      <c r="AR213" s="10" t="inlineStr"/>
      <c r="AS213" s="11" t="inlineStr"/>
      <c r="AT213" s="10" t="inlineStr"/>
    </row>
    <row r="214">
      <c r="A214" s="10" t="inlineStr">
        <is>
          <t>W11-U5-LI</t>
        </is>
      </c>
      <c r="B214" s="10" t="inlineStr">
        <is>
          <t>W11-U5</t>
        </is>
      </c>
      <c r="C214" s="10" t="n">
        <v>11</v>
      </c>
      <c r="D214" s="11" t="n">
        <v>46311</v>
      </c>
      <c r="E214" s="10" t="inlineStr">
        <is>
          <t>Friday</t>
        </is>
      </c>
      <c r="F214" s="10" t="inlineStr">
        <is>
          <t>Farah / Ray</t>
        </is>
      </c>
      <c r="G214" s="10" t="inlineStr">
        <is>
          <t>One system, every register, every location.</t>
        </is>
      </c>
      <c r="H214" s="10" t="inlineStr">
        <is>
          <t>Engage</t>
        </is>
      </c>
      <c r="I214" s="10" t="inlineStr">
        <is>
          <t>Text</t>
        </is>
      </c>
      <c r="J214" s="10" t="inlineStr">
        <is>
          <t>LinkedIn</t>
        </is>
      </c>
      <c r="K214" s="10" t="inlineStr">
        <is>
          <t>Adapted</t>
        </is>
      </c>
      <c r="L214" s="10" t="inlineStr">
        <is>
          <t>Staff turnover: how bad is it, really?</t>
        </is>
      </c>
      <c r="M214" s="10" t="inlineStr">
        <is>
          <t>Engage (vote)</t>
        </is>
      </c>
      <c r="N214" s="10" t="inlineStr">
        <is>
          <t>No</t>
        </is>
      </c>
      <c r="O214" s="10" t="inlineStr">
        <is>
          <t>No</t>
        </is>
      </c>
      <c r="P214" s="10" t="inlineStr">
        <is>
          <t>Not started</t>
        </is>
      </c>
      <c r="Q214" s="10" t="inlineStr">
        <is>
          <t>Not started</t>
        </is>
      </c>
      <c r="R214" s="10" t="inlineStr"/>
      <c r="S214" s="10" t="inlineStr"/>
      <c r="T214" s="10" t="inlineStr"/>
      <c r="U214" s="10" t="n"/>
      <c r="V214" s="10">
        <f>IF(U214="","",IF(U214&gt;=70,"Pass","Hold"))</f>
        <v/>
      </c>
      <c r="W214" s="11" t="n">
        <v>46311</v>
      </c>
      <c r="X214" s="10" t="inlineStr">
        <is>
          <t>10:00 AM</t>
        </is>
      </c>
      <c r="Y214" s="10" t="inlineStr">
        <is>
          <t>Scheduled</t>
        </is>
      </c>
      <c r="Z214" s="11" t="n"/>
      <c r="AA214" s="10" t="inlineStr"/>
      <c r="AB214" s="10" t="inlineStr"/>
      <c r="AC214" s="10" t="n"/>
      <c r="AD214" s="10" t="n"/>
      <c r="AE214" s="10" t="n"/>
      <c r="AF214" s="10" t="n"/>
      <c r="AG214" s="10" t="n"/>
      <c r="AH214" s="10" t="n"/>
      <c r="AI214" s="10" t="n"/>
      <c r="AJ214" s="10" t="n"/>
      <c r="AK214" s="10" t="n"/>
      <c r="AL214" s="10" t="n"/>
      <c r="AM214" s="10" t="inlineStr">
        <is>
          <t>No</t>
        </is>
      </c>
      <c r="AN214" s="10" t="n"/>
      <c r="AO214" s="10" t="n"/>
      <c r="AP214" s="10">
        <f>IF(AND(AC214&lt;&gt;"",AO214&lt;&gt;"",AO214&gt;0),AC214/AO214,"")</f>
        <v/>
      </c>
      <c r="AQ214" s="10">
        <f>IF(AP214="","",IF(AP214&gt;=2,"A",IF(AP214&gt;=1.2,"B",IF(AP214&gt;=0.6,"C","D"))))</f>
        <v/>
      </c>
      <c r="AR214" s="10" t="inlineStr"/>
      <c r="AS214" s="11" t="inlineStr"/>
      <c r="AT214" s="10" t="inlineStr"/>
    </row>
    <row r="215">
      <c r="A215" s="10" t="inlineStr">
        <is>
          <t>W11-U6-IN</t>
        </is>
      </c>
      <c r="B215" s="10" t="inlineStr">
        <is>
          <t>W11-U6</t>
        </is>
      </c>
      <c r="C215" s="10" t="n">
        <v>11</v>
      </c>
      <c r="D215" s="11" t="n">
        <v>46312</v>
      </c>
      <c r="E215" s="10" t="inlineStr">
        <is>
          <t>Saturday</t>
        </is>
      </c>
      <c r="F215" s="10" t="inlineStr">
        <is>
          <t>Farah / Ray</t>
        </is>
      </c>
      <c r="G215" s="10" t="inlineStr">
        <is>
          <t>One system, every register, every location.</t>
        </is>
      </c>
      <c r="H215" s="10" t="inlineStr">
        <is>
          <t>Inspire</t>
        </is>
      </c>
      <c r="I215" s="10" t="inlineStr">
        <is>
          <t>Static</t>
        </is>
      </c>
      <c r="J215" s="10" t="inlineStr">
        <is>
          <t>Instagram</t>
        </is>
      </c>
      <c r="K215" s="10" t="inlineStr">
        <is>
          <t>Primary</t>
        </is>
      </c>
      <c r="L215" s="10" t="inlineStr">
        <is>
          <t>High volume, zero chaos</t>
        </is>
      </c>
      <c r="M215" s="10" t="inlineStr">
        <is>
          <t>Book a demo</t>
        </is>
      </c>
      <c r="N215" s="10" t="inlineStr">
        <is>
          <t>No</t>
        </is>
      </c>
      <c r="O215" s="10" t="inlineStr">
        <is>
          <t>No</t>
        </is>
      </c>
      <c r="P215" s="10" t="inlineStr">
        <is>
          <t>Not started</t>
        </is>
      </c>
      <c r="Q215" s="10" t="inlineStr">
        <is>
          <t>Not started</t>
        </is>
      </c>
      <c r="R215" s="10" t="inlineStr"/>
      <c r="S215" s="10" t="inlineStr"/>
      <c r="T215" s="10" t="inlineStr"/>
      <c r="U215" s="10" t="n"/>
      <c r="V215" s="10">
        <f>IF(U215="","",IF(U215&gt;=70,"Pass","Hold"))</f>
        <v/>
      </c>
      <c r="W215" s="11" t="n">
        <v>46312</v>
      </c>
      <c r="X215" s="10" t="inlineStr">
        <is>
          <t>10:00 AM</t>
        </is>
      </c>
      <c r="Y215" s="10" t="inlineStr">
        <is>
          <t>Scheduled</t>
        </is>
      </c>
      <c r="Z215" s="11" t="n"/>
      <c r="AA215" s="10" t="inlineStr"/>
      <c r="AB215" s="10" t="inlineStr"/>
      <c r="AC215" s="10" t="n"/>
      <c r="AD215" s="10" t="n"/>
      <c r="AE215" s="10" t="n"/>
      <c r="AF215" s="10" t="n"/>
      <c r="AG215" s="10" t="n"/>
      <c r="AH215" s="10" t="n"/>
      <c r="AI215" s="10" t="n"/>
      <c r="AJ215" s="10" t="n"/>
      <c r="AK215" s="10" t="n"/>
      <c r="AL215" s="10" t="n"/>
      <c r="AM215" s="10" t="inlineStr">
        <is>
          <t>No</t>
        </is>
      </c>
      <c r="AN215" s="10" t="n"/>
      <c r="AO215" s="10" t="n"/>
      <c r="AP215" s="10">
        <f>IF(AND(AC215&lt;&gt;"",AO215&lt;&gt;"",AO215&gt;0),AC215/AO215,"")</f>
        <v/>
      </c>
      <c r="AQ215" s="10">
        <f>IF(AP215="","",IF(AP215&gt;=2,"A",IF(AP215&gt;=1.2,"B",IF(AP215&gt;=0.6,"C","D"))))</f>
        <v/>
      </c>
      <c r="AR215" s="10" t="inlineStr"/>
      <c r="AS215" s="11" t="inlineStr"/>
      <c r="AT215" s="10" t="inlineStr"/>
    </row>
    <row r="216">
      <c r="A216" s="10" t="inlineStr">
        <is>
          <t>W11-U6-FA</t>
        </is>
      </c>
      <c r="B216" s="10" t="inlineStr">
        <is>
          <t>W11-U6</t>
        </is>
      </c>
      <c r="C216" s="10" t="n">
        <v>11</v>
      </c>
      <c r="D216" s="11" t="n">
        <v>46312</v>
      </c>
      <c r="E216" s="10" t="inlineStr">
        <is>
          <t>Saturday</t>
        </is>
      </c>
      <c r="F216" s="10" t="inlineStr">
        <is>
          <t>Farah / Ray</t>
        </is>
      </c>
      <c r="G216" s="10" t="inlineStr">
        <is>
          <t>One system, every register, every location.</t>
        </is>
      </c>
      <c r="H216" s="10" t="inlineStr">
        <is>
          <t>Inspire</t>
        </is>
      </c>
      <c r="I216" s="10" t="inlineStr">
        <is>
          <t>Static</t>
        </is>
      </c>
      <c r="J216" s="10" t="inlineStr">
        <is>
          <t>Facebook</t>
        </is>
      </c>
      <c r="K216" s="10" t="inlineStr">
        <is>
          <t>Mirror</t>
        </is>
      </c>
      <c r="L216" s="10" t="inlineStr">
        <is>
          <t>High volume, zero chaos</t>
        </is>
      </c>
      <c r="M216" s="10" t="inlineStr">
        <is>
          <t>Book a demo</t>
        </is>
      </c>
      <c r="N216" s="10" t="inlineStr">
        <is>
          <t>No</t>
        </is>
      </c>
      <c r="O216" s="10" t="inlineStr">
        <is>
          <t>No</t>
        </is>
      </c>
      <c r="P216" s="10" t="inlineStr">
        <is>
          <t>Not started</t>
        </is>
      </c>
      <c r="Q216" s="10" t="inlineStr">
        <is>
          <t>Not started</t>
        </is>
      </c>
      <c r="R216" s="10" t="inlineStr"/>
      <c r="S216" s="10" t="inlineStr"/>
      <c r="T216" s="10" t="inlineStr"/>
      <c r="U216" s="10" t="n"/>
      <c r="V216" s="10">
        <f>IF(U216="","",IF(U216&gt;=70,"Pass","Hold"))</f>
        <v/>
      </c>
      <c r="W216" s="11" t="n">
        <v>46312</v>
      </c>
      <c r="X216" s="10" t="inlineStr">
        <is>
          <t>10:00 AM</t>
        </is>
      </c>
      <c r="Y216" s="10" t="inlineStr">
        <is>
          <t>Scheduled</t>
        </is>
      </c>
      <c r="Z216" s="11" t="n"/>
      <c r="AA216" s="10" t="inlineStr"/>
      <c r="AB216" s="10" t="inlineStr"/>
      <c r="AC216" s="10" t="n"/>
      <c r="AD216" s="10" t="n"/>
      <c r="AE216" s="10" t="n"/>
      <c r="AF216" s="10" t="n"/>
      <c r="AG216" s="10" t="n"/>
      <c r="AH216" s="10" t="n"/>
      <c r="AI216" s="10" t="n"/>
      <c r="AJ216" s="10" t="n"/>
      <c r="AK216" s="10" t="n"/>
      <c r="AL216" s="10" t="n"/>
      <c r="AM216" s="10" t="inlineStr">
        <is>
          <t>No</t>
        </is>
      </c>
      <c r="AN216" s="10" t="n"/>
      <c r="AO216" s="10" t="n"/>
      <c r="AP216" s="10">
        <f>IF(AND(AC216&lt;&gt;"",AO216&lt;&gt;"",AO216&gt;0),AC216/AO216,"")</f>
        <v/>
      </c>
      <c r="AQ216" s="10">
        <f>IF(AP216="","",IF(AP216&gt;=2,"A",IF(AP216&gt;=1.2,"B",IF(AP216&gt;=0.6,"C","D"))))</f>
        <v/>
      </c>
      <c r="AR216" s="10" t="inlineStr"/>
      <c r="AS216" s="11" t="inlineStr"/>
      <c r="AT216" s="10" t="inlineStr"/>
    </row>
    <row r="217">
      <c r="A217" s="10" t="inlineStr">
        <is>
          <t>W11-U6-X</t>
        </is>
      </c>
      <c r="B217" s="10" t="inlineStr">
        <is>
          <t>W11-U6</t>
        </is>
      </c>
      <c r="C217" s="10" t="n">
        <v>11</v>
      </c>
      <c r="D217" s="11" t="n">
        <v>46312</v>
      </c>
      <c r="E217" s="10" t="inlineStr">
        <is>
          <t>Saturday</t>
        </is>
      </c>
      <c r="F217" s="10" t="inlineStr">
        <is>
          <t>Farah / Ray</t>
        </is>
      </c>
      <c r="G217" s="10" t="inlineStr">
        <is>
          <t>One system, every register, every location.</t>
        </is>
      </c>
      <c r="H217" s="10" t="inlineStr">
        <is>
          <t>Inspire</t>
        </is>
      </c>
      <c r="I217" s="10" t="inlineStr">
        <is>
          <t>Static</t>
        </is>
      </c>
      <c r="J217" s="10" t="inlineStr">
        <is>
          <t>X</t>
        </is>
      </c>
      <c r="K217" s="10" t="inlineStr">
        <is>
          <t>Mirror</t>
        </is>
      </c>
      <c r="L217" s="10" t="inlineStr">
        <is>
          <t>High volume, zero chaos</t>
        </is>
      </c>
      <c r="M217" s="10" t="inlineStr">
        <is>
          <t>Book a demo</t>
        </is>
      </c>
      <c r="N217" s="10" t="inlineStr">
        <is>
          <t>No</t>
        </is>
      </c>
      <c r="O217" s="10" t="inlineStr">
        <is>
          <t>No</t>
        </is>
      </c>
      <c r="P217" s="10" t="inlineStr">
        <is>
          <t>Not started</t>
        </is>
      </c>
      <c r="Q217" s="10" t="inlineStr">
        <is>
          <t>Not started</t>
        </is>
      </c>
      <c r="R217" s="10" t="inlineStr"/>
      <c r="S217" s="10" t="inlineStr"/>
      <c r="T217" s="10" t="inlineStr"/>
      <c r="U217" s="10" t="n"/>
      <c r="V217" s="10">
        <f>IF(U217="","",IF(U217&gt;=70,"Pass","Hold"))</f>
        <v/>
      </c>
      <c r="W217" s="11" t="n">
        <v>46312</v>
      </c>
      <c r="X217" s="10" t="inlineStr">
        <is>
          <t>10:00 AM</t>
        </is>
      </c>
      <c r="Y217" s="10" t="inlineStr">
        <is>
          <t>Scheduled</t>
        </is>
      </c>
      <c r="Z217" s="11" t="n"/>
      <c r="AA217" s="10" t="inlineStr"/>
      <c r="AB217" s="10" t="inlineStr"/>
      <c r="AC217" s="10" t="n"/>
      <c r="AD217" s="10" t="n"/>
      <c r="AE217" s="10" t="n"/>
      <c r="AF217" s="10" t="n"/>
      <c r="AG217" s="10" t="n"/>
      <c r="AH217" s="10" t="n"/>
      <c r="AI217" s="10" t="n"/>
      <c r="AJ217" s="10" t="n"/>
      <c r="AK217" s="10" t="n"/>
      <c r="AL217" s="10" t="n"/>
      <c r="AM217" s="10" t="inlineStr">
        <is>
          <t>No</t>
        </is>
      </c>
      <c r="AN217" s="10" t="n"/>
      <c r="AO217" s="10" t="n"/>
      <c r="AP217" s="10">
        <f>IF(AND(AC217&lt;&gt;"",AO217&lt;&gt;"",AO217&gt;0),AC217/AO217,"")</f>
        <v/>
      </c>
      <c r="AQ217" s="10">
        <f>IF(AP217="","",IF(AP217&gt;=2,"A",IF(AP217&gt;=1.2,"B",IF(AP217&gt;=0.6,"C","D"))))</f>
        <v/>
      </c>
      <c r="AR217" s="10" t="inlineStr"/>
      <c r="AS217" s="11" t="inlineStr"/>
      <c r="AT217" s="10" t="inlineStr"/>
    </row>
    <row r="218">
      <c r="A218" s="10" t="inlineStr">
        <is>
          <t>W12-U1-LI</t>
        </is>
      </c>
      <c r="B218" s="10" t="inlineStr">
        <is>
          <t>W12-U1</t>
        </is>
      </c>
      <c r="C218" s="10" t="n">
        <v>12</v>
      </c>
      <c r="D218" s="11" t="n">
        <v>46314</v>
      </c>
      <c r="E218" s="10" t="inlineStr">
        <is>
          <t>Monday</t>
        </is>
      </c>
      <c r="F218" s="10" t="inlineStr">
        <is>
          <t>All</t>
        </is>
      </c>
      <c r="G218" s="10" t="inlineStr">
        <is>
          <t>A quote built around your store, not a shelf price.</t>
        </is>
      </c>
      <c r="H218" s="10" t="inlineStr">
        <is>
          <t>Educate</t>
        </is>
      </c>
      <c r="I218" s="10" t="inlineStr">
        <is>
          <t>Text</t>
        </is>
      </c>
      <c r="J218" s="10" t="inlineStr">
        <is>
          <t>LinkedIn</t>
        </is>
      </c>
      <c r="K218" s="10" t="inlineStr">
        <is>
          <t>Primary</t>
        </is>
      </c>
      <c r="L218" s="10" t="inlineStr">
        <is>
          <t>The State of Independent Retail POS 2026</t>
        </is>
      </c>
      <c r="M218" s="10" t="inlineStr">
        <is>
          <t>Read more (link)</t>
        </is>
      </c>
      <c r="N218" s="10" t="inlineStr">
        <is>
          <t>No</t>
        </is>
      </c>
      <c r="O218" s="10" t="inlineStr">
        <is>
          <t>No</t>
        </is>
      </c>
      <c r="P218" s="10" t="inlineStr">
        <is>
          <t>Not started</t>
        </is>
      </c>
      <c r="Q218" s="10" t="inlineStr">
        <is>
          <t>Not started</t>
        </is>
      </c>
      <c r="R218" s="10" t="inlineStr"/>
      <c r="S218" s="10" t="inlineStr"/>
      <c r="T218" s="10" t="inlineStr"/>
      <c r="U218" s="10" t="n"/>
      <c r="V218" s="10">
        <f>IF(U218="","",IF(U218&gt;=70,"Pass","Hold"))</f>
        <v/>
      </c>
      <c r="W218" s="11" t="n">
        <v>46314</v>
      </c>
      <c r="X218" s="10" t="inlineStr">
        <is>
          <t>10:00 AM</t>
        </is>
      </c>
      <c r="Y218" s="10" t="inlineStr">
        <is>
          <t>Scheduled</t>
        </is>
      </c>
      <c r="Z218" s="11" t="n"/>
      <c r="AA218" s="10" t="inlineStr"/>
      <c r="AB218" s="10" t="inlineStr"/>
      <c r="AC218" s="10" t="n"/>
      <c r="AD218" s="10" t="n"/>
      <c r="AE218" s="10" t="n"/>
      <c r="AF218" s="10" t="n"/>
      <c r="AG218" s="10" t="n"/>
      <c r="AH218" s="10" t="n"/>
      <c r="AI218" s="10" t="n"/>
      <c r="AJ218" s="10" t="n"/>
      <c r="AK218" s="10" t="n"/>
      <c r="AL218" s="10" t="n"/>
      <c r="AM218" s="10" t="inlineStr">
        <is>
          <t>No</t>
        </is>
      </c>
      <c r="AN218" s="10" t="n"/>
      <c r="AO218" s="10" t="n"/>
      <c r="AP218" s="10">
        <f>IF(AND(AC218&lt;&gt;"",AO218&lt;&gt;"",AO218&gt;0),AC218/AO218,"")</f>
        <v/>
      </c>
      <c r="AQ218" s="10">
        <f>IF(AP218="","",IF(AP218&gt;=2,"A",IF(AP218&gt;=1.2,"B",IF(AP218&gt;=0.6,"C","D"))))</f>
        <v/>
      </c>
      <c r="AR218" s="10" t="inlineStr"/>
      <c r="AS218" s="11" t="inlineStr"/>
      <c r="AT218" s="10" t="inlineStr"/>
    </row>
    <row r="219">
      <c r="A219" s="10" t="inlineStr">
        <is>
          <t>W12-U1-FA</t>
        </is>
      </c>
      <c r="B219" s="10" t="inlineStr">
        <is>
          <t>W12-U1</t>
        </is>
      </c>
      <c r="C219" s="10" t="n">
        <v>12</v>
      </c>
      <c r="D219" s="11" t="n">
        <v>46314</v>
      </c>
      <c r="E219" s="10" t="inlineStr">
        <is>
          <t>Monday</t>
        </is>
      </c>
      <c r="F219" s="10" t="inlineStr">
        <is>
          <t>All</t>
        </is>
      </c>
      <c r="G219" s="10" t="inlineStr">
        <is>
          <t>A quote built around your store, not a shelf price.</t>
        </is>
      </c>
      <c r="H219" s="10" t="inlineStr">
        <is>
          <t>Educate</t>
        </is>
      </c>
      <c r="I219" s="10" t="inlineStr">
        <is>
          <t>Text</t>
        </is>
      </c>
      <c r="J219" s="10" t="inlineStr">
        <is>
          <t>Facebook</t>
        </is>
      </c>
      <c r="K219" s="10" t="inlineStr">
        <is>
          <t>Primary</t>
        </is>
      </c>
      <c r="L219" s="10" t="inlineStr">
        <is>
          <t>The State of Independent Retail POS 2026</t>
        </is>
      </c>
      <c r="M219" s="10" t="inlineStr">
        <is>
          <t>Read more (link)</t>
        </is>
      </c>
      <c r="N219" s="10" t="inlineStr">
        <is>
          <t>No</t>
        </is>
      </c>
      <c r="O219" s="10" t="inlineStr">
        <is>
          <t>No</t>
        </is>
      </c>
      <c r="P219" s="10" t="inlineStr">
        <is>
          <t>Not started</t>
        </is>
      </c>
      <c r="Q219" s="10" t="inlineStr">
        <is>
          <t>Not started</t>
        </is>
      </c>
      <c r="R219" s="10" t="inlineStr"/>
      <c r="S219" s="10" t="inlineStr"/>
      <c r="T219" s="10" t="inlineStr"/>
      <c r="U219" s="10" t="n"/>
      <c r="V219" s="10">
        <f>IF(U219="","",IF(U219&gt;=70,"Pass","Hold"))</f>
        <v/>
      </c>
      <c r="W219" s="11" t="n">
        <v>46314</v>
      </c>
      <c r="X219" s="10" t="inlineStr">
        <is>
          <t>10:00 AM</t>
        </is>
      </c>
      <c r="Y219" s="10" t="inlineStr">
        <is>
          <t>Scheduled</t>
        </is>
      </c>
      <c r="Z219" s="11" t="n"/>
      <c r="AA219" s="10" t="inlineStr"/>
      <c r="AB219" s="10" t="inlineStr"/>
      <c r="AC219" s="10" t="n"/>
      <c r="AD219" s="10" t="n"/>
      <c r="AE219" s="10" t="n"/>
      <c r="AF219" s="10" t="n"/>
      <c r="AG219" s="10" t="n"/>
      <c r="AH219" s="10" t="n"/>
      <c r="AI219" s="10" t="n"/>
      <c r="AJ219" s="10" t="n"/>
      <c r="AK219" s="10" t="n"/>
      <c r="AL219" s="10" t="n"/>
      <c r="AM219" s="10" t="inlineStr">
        <is>
          <t>No</t>
        </is>
      </c>
      <c r="AN219" s="10" t="n"/>
      <c r="AO219" s="10" t="n"/>
      <c r="AP219" s="10">
        <f>IF(AND(AC219&lt;&gt;"",AO219&lt;&gt;"",AO219&gt;0),AC219/AO219,"")</f>
        <v/>
      </c>
      <c r="AQ219" s="10">
        <f>IF(AP219="","",IF(AP219&gt;=2,"A",IF(AP219&gt;=1.2,"B",IF(AP219&gt;=0.6,"C","D"))))</f>
        <v/>
      </c>
      <c r="AR219" s="10" t="inlineStr"/>
      <c r="AS219" s="11" t="inlineStr"/>
      <c r="AT219" s="10" t="inlineStr"/>
    </row>
    <row r="220">
      <c r="A220" s="10" t="inlineStr">
        <is>
          <t>W12-U1-BL</t>
        </is>
      </c>
      <c r="B220" s="10" t="inlineStr">
        <is>
          <t>W12-U1</t>
        </is>
      </c>
      <c r="C220" s="10" t="n">
        <v>12</v>
      </c>
      <c r="D220" s="11" t="n">
        <v>46314</v>
      </c>
      <c r="E220" s="10" t="inlineStr">
        <is>
          <t>Monday</t>
        </is>
      </c>
      <c r="F220" s="10" t="inlineStr">
        <is>
          <t>All</t>
        </is>
      </c>
      <c r="G220" s="10" t="inlineStr">
        <is>
          <t>A quote built around your store, not a shelf price.</t>
        </is>
      </c>
      <c r="H220" s="10" t="inlineStr">
        <is>
          <t>Educate</t>
        </is>
      </c>
      <c r="I220" s="10" t="inlineStr">
        <is>
          <t>Text</t>
        </is>
      </c>
      <c r="J220" s="10" t="inlineStr">
        <is>
          <t>Blog/SEO</t>
        </is>
      </c>
      <c r="K220" s="10" t="inlineStr">
        <is>
          <t>Primary</t>
        </is>
      </c>
      <c r="L220" s="10" t="inlineStr">
        <is>
          <t>The State of Independent Retail POS 2026</t>
        </is>
      </c>
      <c r="M220" s="10" t="inlineStr">
        <is>
          <t>Read more (link)</t>
        </is>
      </c>
      <c r="N220" s="10" t="inlineStr">
        <is>
          <t>No</t>
        </is>
      </c>
      <c r="O220" s="10" t="inlineStr">
        <is>
          <t>No</t>
        </is>
      </c>
      <c r="P220" s="10" t="inlineStr">
        <is>
          <t>Not started</t>
        </is>
      </c>
      <c r="Q220" s="10" t="inlineStr">
        <is>
          <t>Not started</t>
        </is>
      </c>
      <c r="R220" s="10" t="inlineStr"/>
      <c r="S220" s="10" t="inlineStr"/>
      <c r="T220" s="10" t="inlineStr"/>
      <c r="U220" s="10" t="n"/>
      <c r="V220" s="10">
        <f>IF(U220="","",IF(U220&gt;=70,"Pass","Hold"))</f>
        <v/>
      </c>
      <c r="W220" s="11" t="n">
        <v>46314</v>
      </c>
      <c r="X220" s="10" t="inlineStr">
        <is>
          <t>10:00 AM</t>
        </is>
      </c>
      <c r="Y220" s="10" t="inlineStr">
        <is>
          <t>Scheduled</t>
        </is>
      </c>
      <c r="Z220" s="11" t="n"/>
      <c r="AA220" s="10" t="inlineStr"/>
      <c r="AB220" s="10" t="inlineStr"/>
      <c r="AC220" s="10" t="n"/>
      <c r="AD220" s="10" t="n"/>
      <c r="AE220" s="10" t="n"/>
      <c r="AF220" s="10" t="n"/>
      <c r="AG220" s="10" t="n"/>
      <c r="AH220" s="10" t="n"/>
      <c r="AI220" s="10" t="n"/>
      <c r="AJ220" s="10" t="n"/>
      <c r="AK220" s="10" t="n"/>
      <c r="AL220" s="10" t="n"/>
      <c r="AM220" s="10" t="inlineStr">
        <is>
          <t>No</t>
        </is>
      </c>
      <c r="AN220" s="10" t="n"/>
      <c r="AO220" s="10" t="n"/>
      <c r="AP220" s="10">
        <f>IF(AND(AC220&lt;&gt;"",AO220&lt;&gt;"",AO220&gt;0),AC220/AO220,"")</f>
        <v/>
      </c>
      <c r="AQ220" s="10">
        <f>IF(AP220="","",IF(AP220&gt;=2,"A",IF(AP220&gt;=1.2,"B",IF(AP220&gt;=0.6,"C","D"))))</f>
        <v/>
      </c>
      <c r="AR220" s="10" t="inlineStr"/>
      <c r="AS220" s="11" t="inlineStr"/>
      <c r="AT220" s="10" t="inlineStr"/>
    </row>
    <row r="221">
      <c r="A221" s="10" t="inlineStr">
        <is>
          <t>W12-U1-X</t>
        </is>
      </c>
      <c r="B221" s="10" t="inlineStr">
        <is>
          <t>W12-U1</t>
        </is>
      </c>
      <c r="C221" s="10" t="n">
        <v>12</v>
      </c>
      <c r="D221" s="11" t="n">
        <v>46314</v>
      </c>
      <c r="E221" s="10" t="inlineStr">
        <is>
          <t>Monday</t>
        </is>
      </c>
      <c r="F221" s="10" t="inlineStr">
        <is>
          <t>All</t>
        </is>
      </c>
      <c r="G221" s="10" t="inlineStr">
        <is>
          <t>A quote built around your store, not a shelf price.</t>
        </is>
      </c>
      <c r="H221" s="10" t="inlineStr">
        <is>
          <t>Educate</t>
        </is>
      </c>
      <c r="I221" s="10" t="inlineStr">
        <is>
          <t>Text</t>
        </is>
      </c>
      <c r="J221" s="10" t="inlineStr">
        <is>
          <t>X</t>
        </is>
      </c>
      <c r="K221" s="10" t="inlineStr">
        <is>
          <t>Mirror</t>
        </is>
      </c>
      <c r="L221" s="10" t="inlineStr">
        <is>
          <t>The State of Independent Retail POS 2026</t>
        </is>
      </c>
      <c r="M221" s="10" t="inlineStr">
        <is>
          <t>Read more (link)</t>
        </is>
      </c>
      <c r="N221" s="10" t="inlineStr">
        <is>
          <t>No</t>
        </is>
      </c>
      <c r="O221" s="10" t="inlineStr">
        <is>
          <t>No</t>
        </is>
      </c>
      <c r="P221" s="10" t="inlineStr">
        <is>
          <t>Not started</t>
        </is>
      </c>
      <c r="Q221" s="10" t="inlineStr">
        <is>
          <t>Not started</t>
        </is>
      </c>
      <c r="R221" s="10" t="inlineStr"/>
      <c r="S221" s="10" t="inlineStr"/>
      <c r="T221" s="10" t="inlineStr"/>
      <c r="U221" s="10" t="n"/>
      <c r="V221" s="10">
        <f>IF(U221="","",IF(U221&gt;=70,"Pass","Hold"))</f>
        <v/>
      </c>
      <c r="W221" s="11" t="n">
        <v>46314</v>
      </c>
      <c r="X221" s="10" t="inlineStr">
        <is>
          <t>10:00 AM</t>
        </is>
      </c>
      <c r="Y221" s="10" t="inlineStr">
        <is>
          <t>Scheduled</t>
        </is>
      </c>
      <c r="Z221" s="11" t="n"/>
      <c r="AA221" s="10" t="inlineStr"/>
      <c r="AB221" s="10" t="inlineStr"/>
      <c r="AC221" s="10" t="n"/>
      <c r="AD221" s="10" t="n"/>
      <c r="AE221" s="10" t="n"/>
      <c r="AF221" s="10" t="n"/>
      <c r="AG221" s="10" t="n"/>
      <c r="AH221" s="10" t="n"/>
      <c r="AI221" s="10" t="n"/>
      <c r="AJ221" s="10" t="n"/>
      <c r="AK221" s="10" t="n"/>
      <c r="AL221" s="10" t="n"/>
      <c r="AM221" s="10" t="inlineStr">
        <is>
          <t>No</t>
        </is>
      </c>
      <c r="AN221" s="10" t="n"/>
      <c r="AO221" s="10" t="n"/>
      <c r="AP221" s="10">
        <f>IF(AND(AC221&lt;&gt;"",AO221&lt;&gt;"",AO221&gt;0),AC221/AO221,"")</f>
        <v/>
      </c>
      <c r="AQ221" s="10">
        <f>IF(AP221="","",IF(AP221&gt;=2,"A",IF(AP221&gt;=1.2,"B",IF(AP221&gt;=0.6,"C","D"))))</f>
        <v/>
      </c>
      <c r="AR221" s="10" t="inlineStr"/>
      <c r="AS221" s="11" t="inlineStr"/>
      <c r="AT221" s="10" t="inlineStr"/>
    </row>
    <row r="222">
      <c r="A222" s="10" t="inlineStr">
        <is>
          <t>W12-U2-IN</t>
        </is>
      </c>
      <c r="B222" s="10" t="inlineStr">
        <is>
          <t>W12-U2</t>
        </is>
      </c>
      <c r="C222" s="10" t="n">
        <v>12</v>
      </c>
      <c r="D222" s="11" t="n">
        <v>46315</v>
      </c>
      <c r="E222" s="10" t="inlineStr">
        <is>
          <t>Tuesday</t>
        </is>
      </c>
      <c r="F222" s="10" t="inlineStr">
        <is>
          <t>All</t>
        </is>
      </c>
      <c r="G222" s="10" t="inlineStr">
        <is>
          <t>A quote built around your store, not a shelf price.</t>
        </is>
      </c>
      <c r="H222" s="10" t="inlineStr">
        <is>
          <t>Educate</t>
        </is>
      </c>
      <c r="I222" s="10" t="inlineStr">
        <is>
          <t>Carousel</t>
        </is>
      </c>
      <c r="J222" s="10" t="inlineStr">
        <is>
          <t>Instagram</t>
        </is>
      </c>
      <c r="K222" s="10" t="inlineStr">
        <is>
          <t>Primary</t>
        </is>
      </c>
      <c r="L222" s="10" t="inlineStr">
        <is>
          <t>Three headline stats, free</t>
        </is>
      </c>
      <c r="M222" s="10" t="inlineStr">
        <is>
          <t>Book a demo</t>
        </is>
      </c>
      <c r="N222" s="10" t="inlineStr">
        <is>
          <t>No</t>
        </is>
      </c>
      <c r="O222" s="10" t="inlineStr">
        <is>
          <t>No</t>
        </is>
      </c>
      <c r="P222" s="10" t="inlineStr">
        <is>
          <t>Not started</t>
        </is>
      </c>
      <c r="Q222" s="10" t="inlineStr">
        <is>
          <t>Not started</t>
        </is>
      </c>
      <c r="R222" s="10" t="inlineStr"/>
      <c r="S222" s="10" t="inlineStr"/>
      <c r="T222" s="10" t="inlineStr"/>
      <c r="U222" s="10" t="n"/>
      <c r="V222" s="10">
        <f>IF(U222="","",IF(U222&gt;=70,"Pass","Hold"))</f>
        <v/>
      </c>
      <c r="W222" s="11" t="n">
        <v>46315</v>
      </c>
      <c r="X222" s="10" t="inlineStr">
        <is>
          <t>10:00 AM</t>
        </is>
      </c>
      <c r="Y222" s="10" t="inlineStr">
        <is>
          <t>Scheduled</t>
        </is>
      </c>
      <c r="Z222" s="11" t="n"/>
      <c r="AA222" s="10" t="inlineStr"/>
      <c r="AB222" s="10" t="inlineStr"/>
      <c r="AC222" s="10" t="n"/>
      <c r="AD222" s="10" t="n"/>
      <c r="AE222" s="10" t="n"/>
      <c r="AF222" s="10" t="n"/>
      <c r="AG222" s="10" t="n"/>
      <c r="AH222" s="10" t="n"/>
      <c r="AI222" s="10" t="n"/>
      <c r="AJ222" s="10" t="n"/>
      <c r="AK222" s="10" t="n"/>
      <c r="AL222" s="10" t="n"/>
      <c r="AM222" s="10" t="inlineStr">
        <is>
          <t>No</t>
        </is>
      </c>
      <c r="AN222" s="10" t="n"/>
      <c r="AO222" s="10" t="n"/>
      <c r="AP222" s="10">
        <f>IF(AND(AC222&lt;&gt;"",AO222&lt;&gt;"",AO222&gt;0),AC222/AO222,"")</f>
        <v/>
      </c>
      <c r="AQ222" s="10">
        <f>IF(AP222="","",IF(AP222&gt;=2,"A",IF(AP222&gt;=1.2,"B",IF(AP222&gt;=0.6,"C","D"))))</f>
        <v/>
      </c>
      <c r="AR222" s="10" t="inlineStr"/>
      <c r="AS222" s="11" t="inlineStr"/>
      <c r="AT222" s="10" t="inlineStr"/>
    </row>
    <row r="223">
      <c r="A223" s="10" t="inlineStr">
        <is>
          <t>W12-U2-FA</t>
        </is>
      </c>
      <c r="B223" s="10" t="inlineStr">
        <is>
          <t>W12-U2</t>
        </is>
      </c>
      <c r="C223" s="10" t="n">
        <v>12</v>
      </c>
      <c r="D223" s="11" t="n">
        <v>46315</v>
      </c>
      <c r="E223" s="10" t="inlineStr">
        <is>
          <t>Tuesday</t>
        </is>
      </c>
      <c r="F223" s="10" t="inlineStr">
        <is>
          <t>All</t>
        </is>
      </c>
      <c r="G223" s="10" t="inlineStr">
        <is>
          <t>A quote built around your store, not a shelf price.</t>
        </is>
      </c>
      <c r="H223" s="10" t="inlineStr">
        <is>
          <t>Educate</t>
        </is>
      </c>
      <c r="I223" s="10" t="inlineStr">
        <is>
          <t>Carousel</t>
        </is>
      </c>
      <c r="J223" s="10" t="inlineStr">
        <is>
          <t>Facebook</t>
        </is>
      </c>
      <c r="K223" s="10" t="inlineStr">
        <is>
          <t>Mirror</t>
        </is>
      </c>
      <c r="L223" s="10" t="inlineStr">
        <is>
          <t>Three headline stats, free</t>
        </is>
      </c>
      <c r="M223" s="10" t="inlineStr">
        <is>
          <t>Book a demo</t>
        </is>
      </c>
      <c r="N223" s="10" t="inlineStr">
        <is>
          <t>No</t>
        </is>
      </c>
      <c r="O223" s="10" t="inlineStr">
        <is>
          <t>No</t>
        </is>
      </c>
      <c r="P223" s="10" t="inlineStr">
        <is>
          <t>Not started</t>
        </is>
      </c>
      <c r="Q223" s="10" t="inlineStr">
        <is>
          <t>Not started</t>
        </is>
      </c>
      <c r="R223" s="10" t="inlineStr"/>
      <c r="S223" s="10" t="inlineStr"/>
      <c r="T223" s="10" t="inlineStr"/>
      <c r="U223" s="10" t="n"/>
      <c r="V223" s="10">
        <f>IF(U223="","",IF(U223&gt;=70,"Pass","Hold"))</f>
        <v/>
      </c>
      <c r="W223" s="11" t="n">
        <v>46315</v>
      </c>
      <c r="X223" s="10" t="inlineStr">
        <is>
          <t>10:00 AM</t>
        </is>
      </c>
      <c r="Y223" s="10" t="inlineStr">
        <is>
          <t>Scheduled</t>
        </is>
      </c>
      <c r="Z223" s="11" t="n"/>
      <c r="AA223" s="10" t="inlineStr"/>
      <c r="AB223" s="10" t="inlineStr"/>
      <c r="AC223" s="10" t="n"/>
      <c r="AD223" s="10" t="n"/>
      <c r="AE223" s="10" t="n"/>
      <c r="AF223" s="10" t="n"/>
      <c r="AG223" s="10" t="n"/>
      <c r="AH223" s="10" t="n"/>
      <c r="AI223" s="10" t="n"/>
      <c r="AJ223" s="10" t="n"/>
      <c r="AK223" s="10" t="n"/>
      <c r="AL223" s="10" t="n"/>
      <c r="AM223" s="10" t="inlineStr">
        <is>
          <t>No</t>
        </is>
      </c>
      <c r="AN223" s="10" t="n"/>
      <c r="AO223" s="10" t="n"/>
      <c r="AP223" s="10">
        <f>IF(AND(AC223&lt;&gt;"",AO223&lt;&gt;"",AO223&gt;0),AC223/AO223,"")</f>
        <v/>
      </c>
      <c r="AQ223" s="10">
        <f>IF(AP223="","",IF(AP223&gt;=2,"A",IF(AP223&gt;=1.2,"B",IF(AP223&gt;=0.6,"C","D"))))</f>
        <v/>
      </c>
      <c r="AR223" s="10" t="inlineStr"/>
      <c r="AS223" s="11" t="inlineStr"/>
      <c r="AT223" s="10" t="inlineStr"/>
    </row>
    <row r="224">
      <c r="A224" s="10" t="inlineStr">
        <is>
          <t>W12-U2-LI</t>
        </is>
      </c>
      <c r="B224" s="10" t="inlineStr">
        <is>
          <t>W12-U2</t>
        </is>
      </c>
      <c r="C224" s="10" t="n">
        <v>12</v>
      </c>
      <c r="D224" s="11" t="n">
        <v>46315</v>
      </c>
      <c r="E224" s="10" t="inlineStr">
        <is>
          <t>Tuesday</t>
        </is>
      </c>
      <c r="F224" s="10" t="inlineStr">
        <is>
          <t>All</t>
        </is>
      </c>
      <c r="G224" s="10" t="inlineStr">
        <is>
          <t>A quote built around your store, not a shelf price.</t>
        </is>
      </c>
      <c r="H224" s="10" t="inlineStr">
        <is>
          <t>Educate</t>
        </is>
      </c>
      <c r="I224" s="10" t="inlineStr">
        <is>
          <t>Carousel</t>
        </is>
      </c>
      <c r="J224" s="10" t="inlineStr">
        <is>
          <t>LinkedIn</t>
        </is>
      </c>
      <c r="K224" s="10" t="inlineStr">
        <is>
          <t>Adapted</t>
        </is>
      </c>
      <c r="L224" s="10" t="inlineStr">
        <is>
          <t>Three headline stats, free</t>
        </is>
      </c>
      <c r="M224" s="10" t="inlineStr">
        <is>
          <t>Book a demo</t>
        </is>
      </c>
      <c r="N224" s="10" t="inlineStr">
        <is>
          <t>No</t>
        </is>
      </c>
      <c r="O224" s="10" t="inlineStr">
        <is>
          <t>No</t>
        </is>
      </c>
      <c r="P224" s="10" t="inlineStr">
        <is>
          <t>Not started</t>
        </is>
      </c>
      <c r="Q224" s="10" t="inlineStr">
        <is>
          <t>Not started</t>
        </is>
      </c>
      <c r="R224" s="10" t="inlineStr"/>
      <c r="S224" s="10" t="inlineStr"/>
      <c r="T224" s="10" t="inlineStr"/>
      <c r="U224" s="10" t="n"/>
      <c r="V224" s="10">
        <f>IF(U224="","",IF(U224&gt;=70,"Pass","Hold"))</f>
        <v/>
      </c>
      <c r="W224" s="11" t="n">
        <v>46315</v>
      </c>
      <c r="X224" s="10" t="inlineStr">
        <is>
          <t>10:00 AM</t>
        </is>
      </c>
      <c r="Y224" s="10" t="inlineStr">
        <is>
          <t>Scheduled</t>
        </is>
      </c>
      <c r="Z224" s="11" t="n"/>
      <c r="AA224" s="10" t="inlineStr"/>
      <c r="AB224" s="10" t="inlineStr"/>
      <c r="AC224" s="10" t="n"/>
      <c r="AD224" s="10" t="n"/>
      <c r="AE224" s="10" t="n"/>
      <c r="AF224" s="10" t="n"/>
      <c r="AG224" s="10" t="n"/>
      <c r="AH224" s="10" t="n"/>
      <c r="AI224" s="10" t="n"/>
      <c r="AJ224" s="10" t="n"/>
      <c r="AK224" s="10" t="n"/>
      <c r="AL224" s="10" t="n"/>
      <c r="AM224" s="10" t="inlineStr">
        <is>
          <t>No</t>
        </is>
      </c>
      <c r="AN224" s="10" t="n"/>
      <c r="AO224" s="10" t="n"/>
      <c r="AP224" s="10">
        <f>IF(AND(AC224&lt;&gt;"",AO224&lt;&gt;"",AO224&gt;0),AC224/AO224,"")</f>
        <v/>
      </c>
      <c r="AQ224" s="10">
        <f>IF(AP224="","",IF(AP224&gt;=2,"A",IF(AP224&gt;=1.2,"B",IF(AP224&gt;=0.6,"C","D"))))</f>
        <v/>
      </c>
      <c r="AR224" s="10" t="inlineStr"/>
      <c r="AS224" s="11" t="inlineStr"/>
      <c r="AT224" s="10" t="inlineStr"/>
    </row>
    <row r="225">
      <c r="A225" s="10" t="inlineStr">
        <is>
          <t>W12-U3-TI</t>
        </is>
      </c>
      <c r="B225" s="10" t="inlineStr">
        <is>
          <t>W12-U3</t>
        </is>
      </c>
      <c r="C225" s="10" t="n">
        <v>12</v>
      </c>
      <c r="D225" s="11" t="n">
        <v>46316</v>
      </c>
      <c r="E225" s="10" t="inlineStr">
        <is>
          <t>Wednesday</t>
        </is>
      </c>
      <c r="F225" s="10" t="inlineStr">
        <is>
          <t>All</t>
        </is>
      </c>
      <c r="G225" s="10" t="inlineStr">
        <is>
          <t>A quote built around your store, not a shelf price.</t>
        </is>
      </c>
      <c r="H225" s="10" t="inlineStr">
        <is>
          <t>Promote</t>
        </is>
      </c>
      <c r="I225" s="10" t="inlineStr">
        <is>
          <t>Video</t>
        </is>
      </c>
      <c r="J225" s="10" t="inlineStr">
        <is>
          <t>TikTok</t>
        </is>
      </c>
      <c r="K225" s="10" t="inlineStr">
        <is>
          <t>Primary</t>
        </is>
      </c>
      <c r="L225" s="10" t="inlineStr">
        <is>
          <t>We asked our own data</t>
        </is>
      </c>
      <c r="M225" s="10" t="inlineStr">
        <is>
          <t>Book a demo</t>
        </is>
      </c>
      <c r="N225" s="10" t="inlineStr">
        <is>
          <t>No</t>
        </is>
      </c>
      <c r="O225" s="10" t="inlineStr">
        <is>
          <t>No</t>
        </is>
      </c>
      <c r="P225" s="10" t="inlineStr">
        <is>
          <t>Not started</t>
        </is>
      </c>
      <c r="Q225" s="10" t="inlineStr">
        <is>
          <t>Not started</t>
        </is>
      </c>
      <c r="R225" s="10" t="inlineStr"/>
      <c r="S225" s="10" t="inlineStr"/>
      <c r="T225" s="10" t="inlineStr"/>
      <c r="U225" s="10" t="n"/>
      <c r="V225" s="10">
        <f>IF(U225="","",IF(U225&gt;=70,"Pass","Hold"))</f>
        <v/>
      </c>
      <c r="W225" s="11" t="n">
        <v>46316</v>
      </c>
      <c r="X225" s="10" t="inlineStr">
        <is>
          <t>10:00 AM</t>
        </is>
      </c>
      <c r="Y225" s="10" t="inlineStr">
        <is>
          <t>Scheduled</t>
        </is>
      </c>
      <c r="Z225" s="11" t="n"/>
      <c r="AA225" s="10" t="inlineStr"/>
      <c r="AB225" s="10" t="inlineStr"/>
      <c r="AC225" s="10" t="n"/>
      <c r="AD225" s="10" t="n"/>
      <c r="AE225" s="10" t="n"/>
      <c r="AF225" s="10" t="n"/>
      <c r="AG225" s="10" t="n"/>
      <c r="AH225" s="10" t="n"/>
      <c r="AI225" s="10" t="n"/>
      <c r="AJ225" s="10" t="n"/>
      <c r="AK225" s="10" t="n"/>
      <c r="AL225" s="10" t="n"/>
      <c r="AM225" s="10" t="inlineStr">
        <is>
          <t>No</t>
        </is>
      </c>
      <c r="AN225" s="10" t="n"/>
      <c r="AO225" s="10" t="n"/>
      <c r="AP225" s="10">
        <f>IF(AND(AC225&lt;&gt;"",AO225&lt;&gt;"",AO225&gt;0),AC225/AO225,"")</f>
        <v/>
      </c>
      <c r="AQ225" s="10">
        <f>IF(AP225="","",IF(AP225&gt;=2,"A",IF(AP225&gt;=1.2,"B",IF(AP225&gt;=0.6,"C","D"))))</f>
        <v/>
      </c>
      <c r="AR225" s="10" t="inlineStr"/>
      <c r="AS225" s="11" t="inlineStr"/>
      <c r="AT225" s="10" t="inlineStr"/>
    </row>
    <row r="226">
      <c r="A226" s="10" t="inlineStr">
        <is>
          <t>W12-U3-IN</t>
        </is>
      </c>
      <c r="B226" s="10" t="inlineStr">
        <is>
          <t>W12-U3</t>
        </is>
      </c>
      <c r="C226" s="10" t="n">
        <v>12</v>
      </c>
      <c r="D226" s="11" t="n">
        <v>46316</v>
      </c>
      <c r="E226" s="10" t="inlineStr">
        <is>
          <t>Wednesday</t>
        </is>
      </c>
      <c r="F226" s="10" t="inlineStr">
        <is>
          <t>All</t>
        </is>
      </c>
      <c r="G226" s="10" t="inlineStr">
        <is>
          <t>A quote built around your store, not a shelf price.</t>
        </is>
      </c>
      <c r="H226" s="10" t="inlineStr">
        <is>
          <t>Promote</t>
        </is>
      </c>
      <c r="I226" s="10" t="inlineStr">
        <is>
          <t>Video</t>
        </is>
      </c>
      <c r="J226" s="10" t="inlineStr">
        <is>
          <t>Instagram</t>
        </is>
      </c>
      <c r="K226" s="10" t="inlineStr">
        <is>
          <t>Mirror</t>
        </is>
      </c>
      <c r="L226" s="10" t="inlineStr">
        <is>
          <t>We asked our own data</t>
        </is>
      </c>
      <c r="M226" s="10" t="inlineStr">
        <is>
          <t>Book a demo</t>
        </is>
      </c>
      <c r="N226" s="10" t="inlineStr">
        <is>
          <t>No</t>
        </is>
      </c>
      <c r="O226" s="10" t="inlineStr">
        <is>
          <t>No</t>
        </is>
      </c>
      <c r="P226" s="10" t="inlineStr">
        <is>
          <t>Not started</t>
        </is>
      </c>
      <c r="Q226" s="10" t="inlineStr">
        <is>
          <t>Not started</t>
        </is>
      </c>
      <c r="R226" s="10" t="inlineStr"/>
      <c r="S226" s="10" t="inlineStr"/>
      <c r="T226" s="10" t="inlineStr"/>
      <c r="U226" s="10" t="n"/>
      <c r="V226" s="10">
        <f>IF(U226="","",IF(U226&gt;=70,"Pass","Hold"))</f>
        <v/>
      </c>
      <c r="W226" s="11" t="n">
        <v>46316</v>
      </c>
      <c r="X226" s="10" t="inlineStr">
        <is>
          <t>10:00 AM</t>
        </is>
      </c>
      <c r="Y226" s="10" t="inlineStr">
        <is>
          <t>Scheduled</t>
        </is>
      </c>
      <c r="Z226" s="11" t="n"/>
      <c r="AA226" s="10" t="inlineStr"/>
      <c r="AB226" s="10" t="inlineStr"/>
      <c r="AC226" s="10" t="n"/>
      <c r="AD226" s="10" t="n"/>
      <c r="AE226" s="10" t="n"/>
      <c r="AF226" s="10" t="n"/>
      <c r="AG226" s="10" t="n"/>
      <c r="AH226" s="10" t="n"/>
      <c r="AI226" s="10" t="n"/>
      <c r="AJ226" s="10" t="n"/>
      <c r="AK226" s="10" t="n"/>
      <c r="AL226" s="10" t="n"/>
      <c r="AM226" s="10" t="inlineStr">
        <is>
          <t>No</t>
        </is>
      </c>
      <c r="AN226" s="10" t="n"/>
      <c r="AO226" s="10" t="n"/>
      <c r="AP226" s="10">
        <f>IF(AND(AC226&lt;&gt;"",AO226&lt;&gt;"",AO226&gt;0),AC226/AO226,"")</f>
        <v/>
      </c>
      <c r="AQ226" s="10">
        <f>IF(AP226="","",IF(AP226&gt;=2,"A",IF(AP226&gt;=1.2,"B",IF(AP226&gt;=0.6,"C","D"))))</f>
        <v/>
      </c>
      <c r="AR226" s="10" t="inlineStr"/>
      <c r="AS226" s="11" t="inlineStr"/>
      <c r="AT226" s="10" t="inlineStr"/>
    </row>
    <row r="227">
      <c r="A227" s="10" t="inlineStr">
        <is>
          <t>W12-U4-LI</t>
        </is>
      </c>
      <c r="B227" s="10" t="inlineStr">
        <is>
          <t>W12-U4</t>
        </is>
      </c>
      <c r="C227" s="10" t="n">
        <v>12</v>
      </c>
      <c r="D227" s="11" t="n">
        <v>46317</v>
      </c>
      <c r="E227" s="10" t="inlineStr">
        <is>
          <t>Thursday</t>
        </is>
      </c>
      <c r="F227" s="10" t="inlineStr">
        <is>
          <t>All</t>
        </is>
      </c>
      <c r="G227" s="10" t="inlineStr">
        <is>
          <t>A quote built around your store, not a shelf price.</t>
        </is>
      </c>
      <c r="H227" s="10" t="inlineStr">
        <is>
          <t>Promote</t>
        </is>
      </c>
      <c r="I227" s="10" t="inlineStr">
        <is>
          <t>Static</t>
        </is>
      </c>
      <c r="J227" s="10" t="inlineStr">
        <is>
          <t>LinkedIn</t>
        </is>
      </c>
      <c r="K227" s="10" t="inlineStr">
        <is>
          <t>Primary</t>
        </is>
      </c>
      <c r="L227" s="10" t="inlineStr">
        <is>
          <t>Trade press pickup amplification</t>
        </is>
      </c>
      <c r="M227" s="10" t="inlineStr">
        <is>
          <t>Read more (link)</t>
        </is>
      </c>
      <c r="N227" s="10" t="inlineStr">
        <is>
          <t>No</t>
        </is>
      </c>
      <c r="O227" s="10" t="inlineStr">
        <is>
          <t>No</t>
        </is>
      </c>
      <c r="P227" s="10" t="inlineStr">
        <is>
          <t>Not started</t>
        </is>
      </c>
      <c r="Q227" s="10" t="inlineStr">
        <is>
          <t>Not started</t>
        </is>
      </c>
      <c r="R227" s="10" t="inlineStr"/>
      <c r="S227" s="10" t="inlineStr"/>
      <c r="T227" s="10" t="inlineStr"/>
      <c r="U227" s="10" t="n"/>
      <c r="V227" s="10">
        <f>IF(U227="","",IF(U227&gt;=70,"Pass","Hold"))</f>
        <v/>
      </c>
      <c r="W227" s="11" t="n">
        <v>46317</v>
      </c>
      <c r="X227" s="10" t="inlineStr">
        <is>
          <t>10:00 AM</t>
        </is>
      </c>
      <c r="Y227" s="10" t="inlineStr">
        <is>
          <t>Scheduled</t>
        </is>
      </c>
      <c r="Z227" s="11" t="n"/>
      <c r="AA227" s="10" t="inlineStr"/>
      <c r="AB227" s="10" t="inlineStr"/>
      <c r="AC227" s="10" t="n"/>
      <c r="AD227" s="10" t="n"/>
      <c r="AE227" s="10" t="n"/>
      <c r="AF227" s="10" t="n"/>
      <c r="AG227" s="10" t="n"/>
      <c r="AH227" s="10" t="n"/>
      <c r="AI227" s="10" t="n"/>
      <c r="AJ227" s="10" t="n"/>
      <c r="AK227" s="10" t="n"/>
      <c r="AL227" s="10" t="n"/>
      <c r="AM227" s="10" t="inlineStr">
        <is>
          <t>No</t>
        </is>
      </c>
      <c r="AN227" s="10" t="n"/>
      <c r="AO227" s="10" t="n"/>
      <c r="AP227" s="10">
        <f>IF(AND(AC227&lt;&gt;"",AO227&lt;&gt;"",AO227&gt;0),AC227/AO227,"")</f>
        <v/>
      </c>
      <c r="AQ227" s="10">
        <f>IF(AP227="","",IF(AP227&gt;=2,"A",IF(AP227&gt;=1.2,"B",IF(AP227&gt;=0.6,"C","D"))))</f>
        <v/>
      </c>
      <c r="AR227" s="10" t="inlineStr"/>
      <c r="AS227" s="11" t="inlineStr"/>
      <c r="AT227" s="10" t="inlineStr"/>
    </row>
    <row r="228">
      <c r="A228" s="10" t="inlineStr">
        <is>
          <t>W12-U4-FA</t>
        </is>
      </c>
      <c r="B228" s="10" t="inlineStr">
        <is>
          <t>W12-U4</t>
        </is>
      </c>
      <c r="C228" s="10" t="n">
        <v>12</v>
      </c>
      <c r="D228" s="11" t="n">
        <v>46317</v>
      </c>
      <c r="E228" s="10" t="inlineStr">
        <is>
          <t>Thursday</t>
        </is>
      </c>
      <c r="F228" s="10" t="inlineStr">
        <is>
          <t>All</t>
        </is>
      </c>
      <c r="G228" s="10" t="inlineStr">
        <is>
          <t>A quote built around your store, not a shelf price.</t>
        </is>
      </c>
      <c r="H228" s="10" t="inlineStr">
        <is>
          <t>Promote</t>
        </is>
      </c>
      <c r="I228" s="10" t="inlineStr">
        <is>
          <t>Static</t>
        </is>
      </c>
      <c r="J228" s="10" t="inlineStr">
        <is>
          <t>Facebook</t>
        </is>
      </c>
      <c r="K228" s="10" t="inlineStr">
        <is>
          <t>Mirror</t>
        </is>
      </c>
      <c r="L228" s="10" t="inlineStr">
        <is>
          <t>Trade press pickup amplification</t>
        </is>
      </c>
      <c r="M228" s="10" t="inlineStr">
        <is>
          <t>Read more (link)</t>
        </is>
      </c>
      <c r="N228" s="10" t="inlineStr">
        <is>
          <t>No</t>
        </is>
      </c>
      <c r="O228" s="10" t="inlineStr">
        <is>
          <t>No</t>
        </is>
      </c>
      <c r="P228" s="10" t="inlineStr">
        <is>
          <t>Not started</t>
        </is>
      </c>
      <c r="Q228" s="10" t="inlineStr">
        <is>
          <t>Not started</t>
        </is>
      </c>
      <c r="R228" s="10" t="inlineStr"/>
      <c r="S228" s="10" t="inlineStr"/>
      <c r="T228" s="10" t="inlineStr"/>
      <c r="U228" s="10" t="n"/>
      <c r="V228" s="10">
        <f>IF(U228="","",IF(U228&gt;=70,"Pass","Hold"))</f>
        <v/>
      </c>
      <c r="W228" s="11" t="n">
        <v>46317</v>
      </c>
      <c r="X228" s="10" t="inlineStr">
        <is>
          <t>10:00 AM</t>
        </is>
      </c>
      <c r="Y228" s="10" t="inlineStr">
        <is>
          <t>Scheduled</t>
        </is>
      </c>
      <c r="Z228" s="11" t="n"/>
      <c r="AA228" s="10" t="inlineStr"/>
      <c r="AB228" s="10" t="inlineStr"/>
      <c r="AC228" s="10" t="n"/>
      <c r="AD228" s="10" t="n"/>
      <c r="AE228" s="10" t="n"/>
      <c r="AF228" s="10" t="n"/>
      <c r="AG228" s="10" t="n"/>
      <c r="AH228" s="10" t="n"/>
      <c r="AI228" s="10" t="n"/>
      <c r="AJ228" s="10" t="n"/>
      <c r="AK228" s="10" t="n"/>
      <c r="AL228" s="10" t="n"/>
      <c r="AM228" s="10" t="inlineStr">
        <is>
          <t>No</t>
        </is>
      </c>
      <c r="AN228" s="10" t="n"/>
      <c r="AO228" s="10" t="n"/>
      <c r="AP228" s="10">
        <f>IF(AND(AC228&lt;&gt;"",AO228&lt;&gt;"",AO228&gt;0),AC228/AO228,"")</f>
        <v/>
      </c>
      <c r="AQ228" s="10">
        <f>IF(AP228="","",IF(AP228&gt;=2,"A",IF(AP228&gt;=1.2,"B",IF(AP228&gt;=0.6,"C","D"))))</f>
        <v/>
      </c>
      <c r="AR228" s="10" t="inlineStr"/>
      <c r="AS228" s="11" t="inlineStr"/>
      <c r="AT228" s="10" t="inlineStr"/>
    </row>
    <row r="229">
      <c r="A229" s="10" t="inlineStr">
        <is>
          <t>W12-U4-X</t>
        </is>
      </c>
      <c r="B229" s="10" t="inlineStr">
        <is>
          <t>W12-U4</t>
        </is>
      </c>
      <c r="C229" s="10" t="n">
        <v>12</v>
      </c>
      <c r="D229" s="11" t="n">
        <v>46317</v>
      </c>
      <c r="E229" s="10" t="inlineStr">
        <is>
          <t>Thursday</t>
        </is>
      </c>
      <c r="F229" s="10" t="inlineStr">
        <is>
          <t>All</t>
        </is>
      </c>
      <c r="G229" s="10" t="inlineStr">
        <is>
          <t>A quote built around your store, not a shelf price.</t>
        </is>
      </c>
      <c r="H229" s="10" t="inlineStr">
        <is>
          <t>Promote</t>
        </is>
      </c>
      <c r="I229" s="10" t="inlineStr">
        <is>
          <t>Static</t>
        </is>
      </c>
      <c r="J229" s="10" t="inlineStr">
        <is>
          <t>X</t>
        </is>
      </c>
      <c r="K229" s="10" t="inlineStr">
        <is>
          <t>Mirror</t>
        </is>
      </c>
      <c r="L229" s="10" t="inlineStr">
        <is>
          <t>Trade press pickup amplification</t>
        </is>
      </c>
      <c r="M229" s="10" t="inlineStr">
        <is>
          <t>Read more (link)</t>
        </is>
      </c>
      <c r="N229" s="10" t="inlineStr">
        <is>
          <t>No</t>
        </is>
      </c>
      <c r="O229" s="10" t="inlineStr">
        <is>
          <t>No</t>
        </is>
      </c>
      <c r="P229" s="10" t="inlineStr">
        <is>
          <t>Not started</t>
        </is>
      </c>
      <c r="Q229" s="10" t="inlineStr">
        <is>
          <t>Not started</t>
        </is>
      </c>
      <c r="R229" s="10" t="inlineStr"/>
      <c r="S229" s="10" t="inlineStr"/>
      <c r="T229" s="10" t="inlineStr"/>
      <c r="U229" s="10" t="n"/>
      <c r="V229" s="10">
        <f>IF(U229="","",IF(U229&gt;=70,"Pass","Hold"))</f>
        <v/>
      </c>
      <c r="W229" s="11" t="n">
        <v>46317</v>
      </c>
      <c r="X229" s="10" t="inlineStr">
        <is>
          <t>10:00 AM</t>
        </is>
      </c>
      <c r="Y229" s="10" t="inlineStr">
        <is>
          <t>Scheduled</t>
        </is>
      </c>
      <c r="Z229" s="11" t="n"/>
      <c r="AA229" s="10" t="inlineStr"/>
      <c r="AB229" s="10" t="inlineStr"/>
      <c r="AC229" s="10" t="n"/>
      <c r="AD229" s="10" t="n"/>
      <c r="AE229" s="10" t="n"/>
      <c r="AF229" s="10" t="n"/>
      <c r="AG229" s="10" t="n"/>
      <c r="AH229" s="10" t="n"/>
      <c r="AI229" s="10" t="n"/>
      <c r="AJ229" s="10" t="n"/>
      <c r="AK229" s="10" t="n"/>
      <c r="AL229" s="10" t="n"/>
      <c r="AM229" s="10" t="inlineStr">
        <is>
          <t>No</t>
        </is>
      </c>
      <c r="AN229" s="10" t="n"/>
      <c r="AO229" s="10" t="n"/>
      <c r="AP229" s="10">
        <f>IF(AND(AC229&lt;&gt;"",AO229&lt;&gt;"",AO229&gt;0),AC229/AO229,"")</f>
        <v/>
      </c>
      <c r="AQ229" s="10">
        <f>IF(AP229="","",IF(AP229&gt;=2,"A",IF(AP229&gt;=1.2,"B",IF(AP229&gt;=0.6,"C","D"))))</f>
        <v/>
      </c>
      <c r="AR229" s="10" t="inlineStr"/>
      <c r="AS229" s="11" t="inlineStr"/>
      <c r="AT229" s="10" t="inlineStr"/>
    </row>
    <row r="230">
      <c r="A230" s="10" t="inlineStr">
        <is>
          <t>W12-U5-IN</t>
        </is>
      </c>
      <c r="B230" s="10" t="inlineStr">
        <is>
          <t>W12-U5</t>
        </is>
      </c>
      <c r="C230" s="10" t="n">
        <v>12</v>
      </c>
      <c r="D230" s="11" t="n">
        <v>46318</v>
      </c>
      <c r="E230" s="10" t="inlineStr">
        <is>
          <t>Friday</t>
        </is>
      </c>
      <c r="F230" s="10" t="inlineStr">
        <is>
          <t>All</t>
        </is>
      </c>
      <c r="G230" s="10" t="inlineStr">
        <is>
          <t>A quote built around your store, not a shelf price.</t>
        </is>
      </c>
      <c r="H230" s="10" t="inlineStr">
        <is>
          <t>Engage</t>
        </is>
      </c>
      <c r="I230" s="10" t="inlineStr">
        <is>
          <t>Text</t>
        </is>
      </c>
      <c r="J230" s="10" t="inlineStr">
        <is>
          <t>Instagram</t>
        </is>
      </c>
      <c r="K230" s="10" t="inlineStr">
        <is>
          <t>Primary</t>
        </is>
      </c>
      <c r="L230" s="10" t="inlineStr">
        <is>
          <t>What do you think we found?</t>
        </is>
      </c>
      <c r="M230" s="10" t="inlineStr">
        <is>
          <t>Engage (vote)</t>
        </is>
      </c>
      <c r="N230" s="10" t="inlineStr">
        <is>
          <t>No</t>
        </is>
      </c>
      <c r="O230" s="10" t="inlineStr">
        <is>
          <t>No</t>
        </is>
      </c>
      <c r="P230" s="10" t="inlineStr">
        <is>
          <t>Not started</t>
        </is>
      </c>
      <c r="Q230" s="10" t="inlineStr">
        <is>
          <t>Not started</t>
        </is>
      </c>
      <c r="R230" s="10" t="inlineStr"/>
      <c r="S230" s="10" t="inlineStr"/>
      <c r="T230" s="10" t="inlineStr"/>
      <c r="U230" s="10" t="n"/>
      <c r="V230" s="10">
        <f>IF(U230="","",IF(U230&gt;=70,"Pass","Hold"))</f>
        <v/>
      </c>
      <c r="W230" s="11" t="n">
        <v>46318</v>
      </c>
      <c r="X230" s="10" t="inlineStr">
        <is>
          <t>10:00 AM</t>
        </is>
      </c>
      <c r="Y230" s="10" t="inlineStr">
        <is>
          <t>Scheduled</t>
        </is>
      </c>
      <c r="Z230" s="11" t="n"/>
      <c r="AA230" s="10" t="inlineStr"/>
      <c r="AB230" s="10" t="inlineStr"/>
      <c r="AC230" s="10" t="n"/>
      <c r="AD230" s="10" t="n"/>
      <c r="AE230" s="10" t="n"/>
      <c r="AF230" s="10" t="n"/>
      <c r="AG230" s="10" t="n"/>
      <c r="AH230" s="10" t="n"/>
      <c r="AI230" s="10" t="n"/>
      <c r="AJ230" s="10" t="n"/>
      <c r="AK230" s="10" t="n"/>
      <c r="AL230" s="10" t="n"/>
      <c r="AM230" s="10" t="inlineStr">
        <is>
          <t>No</t>
        </is>
      </c>
      <c r="AN230" s="10" t="n"/>
      <c r="AO230" s="10" t="n"/>
      <c r="AP230" s="10">
        <f>IF(AND(AC230&lt;&gt;"",AO230&lt;&gt;"",AO230&gt;0),AC230/AO230,"")</f>
        <v/>
      </c>
      <c r="AQ230" s="10">
        <f>IF(AP230="","",IF(AP230&gt;=2,"A",IF(AP230&gt;=1.2,"B",IF(AP230&gt;=0.6,"C","D"))))</f>
        <v/>
      </c>
      <c r="AR230" s="10" t="inlineStr"/>
      <c r="AS230" s="11" t="inlineStr"/>
      <c r="AT230" s="10" t="inlineStr"/>
    </row>
    <row r="231">
      <c r="A231" s="10" t="inlineStr">
        <is>
          <t>W12-U5-LI</t>
        </is>
      </c>
      <c r="B231" s="10" t="inlineStr">
        <is>
          <t>W12-U5</t>
        </is>
      </c>
      <c r="C231" s="10" t="n">
        <v>12</v>
      </c>
      <c r="D231" s="11" t="n">
        <v>46318</v>
      </c>
      <c r="E231" s="10" t="inlineStr">
        <is>
          <t>Friday</t>
        </is>
      </c>
      <c r="F231" s="10" t="inlineStr">
        <is>
          <t>All</t>
        </is>
      </c>
      <c r="G231" s="10" t="inlineStr">
        <is>
          <t>A quote built around your store, not a shelf price.</t>
        </is>
      </c>
      <c r="H231" s="10" t="inlineStr">
        <is>
          <t>Engage</t>
        </is>
      </c>
      <c r="I231" s="10" t="inlineStr">
        <is>
          <t>Text</t>
        </is>
      </c>
      <c r="J231" s="10" t="inlineStr">
        <is>
          <t>LinkedIn</t>
        </is>
      </c>
      <c r="K231" s="10" t="inlineStr">
        <is>
          <t>Adapted</t>
        </is>
      </c>
      <c r="L231" s="10" t="inlineStr">
        <is>
          <t>What do you think we found?</t>
        </is>
      </c>
      <c r="M231" s="10" t="inlineStr">
        <is>
          <t>Engage (vote)</t>
        </is>
      </c>
      <c r="N231" s="10" t="inlineStr">
        <is>
          <t>No</t>
        </is>
      </c>
      <c r="O231" s="10" t="inlineStr">
        <is>
          <t>No</t>
        </is>
      </c>
      <c r="P231" s="10" t="inlineStr">
        <is>
          <t>Not started</t>
        </is>
      </c>
      <c r="Q231" s="10" t="inlineStr">
        <is>
          <t>Not started</t>
        </is>
      </c>
      <c r="R231" s="10" t="inlineStr"/>
      <c r="S231" s="10" t="inlineStr"/>
      <c r="T231" s="10" t="inlineStr"/>
      <c r="U231" s="10" t="n"/>
      <c r="V231" s="10">
        <f>IF(U231="","",IF(U231&gt;=70,"Pass","Hold"))</f>
        <v/>
      </c>
      <c r="W231" s="11" t="n">
        <v>46318</v>
      </c>
      <c r="X231" s="10" t="inlineStr">
        <is>
          <t>10:00 AM</t>
        </is>
      </c>
      <c r="Y231" s="10" t="inlineStr">
        <is>
          <t>Scheduled</t>
        </is>
      </c>
      <c r="Z231" s="11" t="n"/>
      <c r="AA231" s="10" t="inlineStr"/>
      <c r="AB231" s="10" t="inlineStr"/>
      <c r="AC231" s="10" t="n"/>
      <c r="AD231" s="10" t="n"/>
      <c r="AE231" s="10" t="n"/>
      <c r="AF231" s="10" t="n"/>
      <c r="AG231" s="10" t="n"/>
      <c r="AH231" s="10" t="n"/>
      <c r="AI231" s="10" t="n"/>
      <c r="AJ231" s="10" t="n"/>
      <c r="AK231" s="10" t="n"/>
      <c r="AL231" s="10" t="n"/>
      <c r="AM231" s="10" t="inlineStr">
        <is>
          <t>No</t>
        </is>
      </c>
      <c r="AN231" s="10" t="n"/>
      <c r="AO231" s="10" t="n"/>
      <c r="AP231" s="10">
        <f>IF(AND(AC231&lt;&gt;"",AO231&lt;&gt;"",AO231&gt;0),AC231/AO231,"")</f>
        <v/>
      </c>
      <c r="AQ231" s="10">
        <f>IF(AP231="","",IF(AP231&gt;=2,"A",IF(AP231&gt;=1.2,"B",IF(AP231&gt;=0.6,"C","D"))))</f>
        <v/>
      </c>
      <c r="AR231" s="10" t="inlineStr"/>
      <c r="AS231" s="11" t="inlineStr"/>
      <c r="AT231" s="10" t="inlineStr"/>
    </row>
    <row r="232">
      <c r="A232" s="10" t="inlineStr">
        <is>
          <t>W12-U6-IN</t>
        </is>
      </c>
      <c r="B232" s="10" t="inlineStr">
        <is>
          <t>W12-U6</t>
        </is>
      </c>
      <c r="C232" s="10" t="n">
        <v>12</v>
      </c>
      <c r="D232" s="11" t="n">
        <v>46319</v>
      </c>
      <c r="E232" s="10" t="inlineStr">
        <is>
          <t>Saturday</t>
        </is>
      </c>
      <c r="F232" s="10" t="inlineStr">
        <is>
          <t>All</t>
        </is>
      </c>
      <c r="G232" s="10" t="inlineStr">
        <is>
          <t>A quote built around your store, not a shelf price.</t>
        </is>
      </c>
      <c r="H232" s="10" t="inlineStr">
        <is>
          <t>Inspire</t>
        </is>
      </c>
      <c r="I232" s="10" t="inlineStr">
        <is>
          <t>Static</t>
        </is>
      </c>
      <c r="J232" s="10" t="inlineStr">
        <is>
          <t>Instagram</t>
        </is>
      </c>
      <c r="K232" s="10" t="inlineStr">
        <is>
          <t>Primary</t>
        </is>
      </c>
      <c r="L232" s="10" t="inlineStr">
        <is>
          <t>The headline stat, standalone</t>
        </is>
      </c>
      <c r="M232" s="10" t="inlineStr">
        <is>
          <t>Book a demo</t>
        </is>
      </c>
      <c r="N232" s="10" t="inlineStr">
        <is>
          <t>No</t>
        </is>
      </c>
      <c r="O232" s="10" t="inlineStr">
        <is>
          <t>No</t>
        </is>
      </c>
      <c r="P232" s="10" t="inlineStr">
        <is>
          <t>Not started</t>
        </is>
      </c>
      <c r="Q232" s="10" t="inlineStr">
        <is>
          <t>Not started</t>
        </is>
      </c>
      <c r="R232" s="10" t="inlineStr"/>
      <c r="S232" s="10" t="inlineStr"/>
      <c r="T232" s="10" t="inlineStr"/>
      <c r="U232" s="10" t="n"/>
      <c r="V232" s="10">
        <f>IF(U232="","",IF(U232&gt;=70,"Pass","Hold"))</f>
        <v/>
      </c>
      <c r="W232" s="11" t="n">
        <v>46319</v>
      </c>
      <c r="X232" s="10" t="inlineStr">
        <is>
          <t>10:00 AM</t>
        </is>
      </c>
      <c r="Y232" s="10" t="inlineStr">
        <is>
          <t>Scheduled</t>
        </is>
      </c>
      <c r="Z232" s="11" t="n"/>
      <c r="AA232" s="10" t="inlineStr"/>
      <c r="AB232" s="10" t="inlineStr"/>
      <c r="AC232" s="10" t="n"/>
      <c r="AD232" s="10" t="n"/>
      <c r="AE232" s="10" t="n"/>
      <c r="AF232" s="10" t="n"/>
      <c r="AG232" s="10" t="n"/>
      <c r="AH232" s="10" t="n"/>
      <c r="AI232" s="10" t="n"/>
      <c r="AJ232" s="10" t="n"/>
      <c r="AK232" s="10" t="n"/>
      <c r="AL232" s="10" t="n"/>
      <c r="AM232" s="10" t="inlineStr">
        <is>
          <t>No</t>
        </is>
      </c>
      <c r="AN232" s="10" t="n"/>
      <c r="AO232" s="10" t="n"/>
      <c r="AP232" s="10">
        <f>IF(AND(AC232&lt;&gt;"",AO232&lt;&gt;"",AO232&gt;0),AC232/AO232,"")</f>
        <v/>
      </c>
      <c r="AQ232" s="10">
        <f>IF(AP232="","",IF(AP232&gt;=2,"A",IF(AP232&gt;=1.2,"B",IF(AP232&gt;=0.6,"C","D"))))</f>
        <v/>
      </c>
      <c r="AR232" s="10" t="inlineStr"/>
      <c r="AS232" s="11" t="inlineStr"/>
      <c r="AT232" s="10" t="inlineStr"/>
    </row>
    <row r="233">
      <c r="A233" s="10" t="inlineStr">
        <is>
          <t>W12-U6-FA</t>
        </is>
      </c>
      <c r="B233" s="10" t="inlineStr">
        <is>
          <t>W12-U6</t>
        </is>
      </c>
      <c r="C233" s="10" t="n">
        <v>12</v>
      </c>
      <c r="D233" s="11" t="n">
        <v>46319</v>
      </c>
      <c r="E233" s="10" t="inlineStr">
        <is>
          <t>Saturday</t>
        </is>
      </c>
      <c r="F233" s="10" t="inlineStr">
        <is>
          <t>All</t>
        </is>
      </c>
      <c r="G233" s="10" t="inlineStr">
        <is>
          <t>A quote built around your store, not a shelf price.</t>
        </is>
      </c>
      <c r="H233" s="10" t="inlineStr">
        <is>
          <t>Inspire</t>
        </is>
      </c>
      <c r="I233" s="10" t="inlineStr">
        <is>
          <t>Static</t>
        </is>
      </c>
      <c r="J233" s="10" t="inlineStr">
        <is>
          <t>Facebook</t>
        </is>
      </c>
      <c r="K233" s="10" t="inlineStr">
        <is>
          <t>Mirror</t>
        </is>
      </c>
      <c r="L233" s="10" t="inlineStr">
        <is>
          <t>The headline stat, standalone</t>
        </is>
      </c>
      <c r="M233" s="10" t="inlineStr">
        <is>
          <t>Book a demo</t>
        </is>
      </c>
      <c r="N233" s="10" t="inlineStr">
        <is>
          <t>No</t>
        </is>
      </c>
      <c r="O233" s="10" t="inlineStr">
        <is>
          <t>No</t>
        </is>
      </c>
      <c r="P233" s="10" t="inlineStr">
        <is>
          <t>Not started</t>
        </is>
      </c>
      <c r="Q233" s="10" t="inlineStr">
        <is>
          <t>Not started</t>
        </is>
      </c>
      <c r="R233" s="10" t="inlineStr"/>
      <c r="S233" s="10" t="inlineStr"/>
      <c r="T233" s="10" t="inlineStr"/>
      <c r="U233" s="10" t="n"/>
      <c r="V233" s="10">
        <f>IF(U233="","",IF(U233&gt;=70,"Pass","Hold"))</f>
        <v/>
      </c>
      <c r="W233" s="11" t="n">
        <v>46319</v>
      </c>
      <c r="X233" s="10" t="inlineStr">
        <is>
          <t>10:00 AM</t>
        </is>
      </c>
      <c r="Y233" s="10" t="inlineStr">
        <is>
          <t>Scheduled</t>
        </is>
      </c>
      <c r="Z233" s="11" t="n"/>
      <c r="AA233" s="10" t="inlineStr"/>
      <c r="AB233" s="10" t="inlineStr"/>
      <c r="AC233" s="10" t="n"/>
      <c r="AD233" s="10" t="n"/>
      <c r="AE233" s="10" t="n"/>
      <c r="AF233" s="10" t="n"/>
      <c r="AG233" s="10" t="n"/>
      <c r="AH233" s="10" t="n"/>
      <c r="AI233" s="10" t="n"/>
      <c r="AJ233" s="10" t="n"/>
      <c r="AK233" s="10" t="n"/>
      <c r="AL233" s="10" t="n"/>
      <c r="AM233" s="10" t="inlineStr">
        <is>
          <t>No</t>
        </is>
      </c>
      <c r="AN233" s="10" t="n"/>
      <c r="AO233" s="10" t="n"/>
      <c r="AP233" s="10">
        <f>IF(AND(AC233&lt;&gt;"",AO233&lt;&gt;"",AO233&gt;0),AC233/AO233,"")</f>
        <v/>
      </c>
      <c r="AQ233" s="10">
        <f>IF(AP233="","",IF(AP233&gt;=2,"A",IF(AP233&gt;=1.2,"B",IF(AP233&gt;=0.6,"C","D"))))</f>
        <v/>
      </c>
      <c r="AR233" s="10" t="inlineStr"/>
      <c r="AS233" s="11" t="inlineStr"/>
      <c r="AT233" s="10" t="inlineStr"/>
    </row>
    <row r="234">
      <c r="A234" s="10" t="inlineStr">
        <is>
          <t>W12-U6-X</t>
        </is>
      </c>
      <c r="B234" s="10" t="inlineStr">
        <is>
          <t>W12-U6</t>
        </is>
      </c>
      <c r="C234" s="10" t="n">
        <v>12</v>
      </c>
      <c r="D234" s="11" t="n">
        <v>46319</v>
      </c>
      <c r="E234" s="10" t="inlineStr">
        <is>
          <t>Saturday</t>
        </is>
      </c>
      <c r="F234" s="10" t="inlineStr">
        <is>
          <t>All</t>
        </is>
      </c>
      <c r="G234" s="10" t="inlineStr">
        <is>
          <t>A quote built around your store, not a shelf price.</t>
        </is>
      </c>
      <c r="H234" s="10" t="inlineStr">
        <is>
          <t>Inspire</t>
        </is>
      </c>
      <c r="I234" s="10" t="inlineStr">
        <is>
          <t>Static</t>
        </is>
      </c>
      <c r="J234" s="10" t="inlineStr">
        <is>
          <t>X</t>
        </is>
      </c>
      <c r="K234" s="10" t="inlineStr">
        <is>
          <t>Mirror</t>
        </is>
      </c>
      <c r="L234" s="10" t="inlineStr">
        <is>
          <t>The headline stat, standalone</t>
        </is>
      </c>
      <c r="M234" s="10" t="inlineStr">
        <is>
          <t>Book a demo</t>
        </is>
      </c>
      <c r="N234" s="10" t="inlineStr">
        <is>
          <t>No</t>
        </is>
      </c>
      <c r="O234" s="10" t="inlineStr">
        <is>
          <t>No</t>
        </is>
      </c>
      <c r="P234" s="10" t="inlineStr">
        <is>
          <t>Not started</t>
        </is>
      </c>
      <c r="Q234" s="10" t="inlineStr">
        <is>
          <t>Not started</t>
        </is>
      </c>
      <c r="R234" s="10" t="inlineStr"/>
      <c r="S234" s="10" t="inlineStr"/>
      <c r="T234" s="10" t="inlineStr"/>
      <c r="U234" s="10" t="n"/>
      <c r="V234" s="10">
        <f>IF(U234="","",IF(U234&gt;=70,"Pass","Hold"))</f>
        <v/>
      </c>
      <c r="W234" s="11" t="n">
        <v>46319</v>
      </c>
      <c r="X234" s="10" t="inlineStr">
        <is>
          <t>10:00 AM</t>
        </is>
      </c>
      <c r="Y234" s="10" t="inlineStr">
        <is>
          <t>Scheduled</t>
        </is>
      </c>
      <c r="Z234" s="11" t="n"/>
      <c r="AA234" s="10" t="inlineStr"/>
      <c r="AB234" s="10" t="inlineStr"/>
      <c r="AC234" s="10" t="n"/>
      <c r="AD234" s="10" t="n"/>
      <c r="AE234" s="10" t="n"/>
      <c r="AF234" s="10" t="n"/>
      <c r="AG234" s="10" t="n"/>
      <c r="AH234" s="10" t="n"/>
      <c r="AI234" s="10" t="n"/>
      <c r="AJ234" s="10" t="n"/>
      <c r="AK234" s="10" t="n"/>
      <c r="AL234" s="10" t="n"/>
      <c r="AM234" s="10" t="inlineStr">
        <is>
          <t>No</t>
        </is>
      </c>
      <c r="AN234" s="10" t="n"/>
      <c r="AO234" s="10" t="n"/>
      <c r="AP234" s="10">
        <f>IF(AND(AC234&lt;&gt;"",AO234&lt;&gt;"",AO234&gt;0),AC234/AO234,"")</f>
        <v/>
      </c>
      <c r="AQ234" s="10">
        <f>IF(AP234="","",IF(AP234&gt;=2,"A",IF(AP234&gt;=1.2,"B",IF(AP234&gt;=0.6,"C","D"))))</f>
        <v/>
      </c>
      <c r="AR234" s="10" t="inlineStr"/>
      <c r="AS234" s="11" t="inlineStr"/>
      <c r="AT234" s="10" t="inlineStr"/>
    </row>
    <row r="235">
      <c r="A235" s="10" t="inlineStr">
        <is>
          <t>W12-U7-LI</t>
        </is>
      </c>
      <c r="B235" s="10" t="inlineStr">
        <is>
          <t>W12-U7</t>
        </is>
      </c>
      <c r="C235" s="10" t="n">
        <v>12</v>
      </c>
      <c r="D235" s="11" t="n">
        <v>46320</v>
      </c>
      <c r="E235" s="10" t="inlineStr">
        <is>
          <t>Sunday</t>
        </is>
      </c>
      <c r="F235" s="10" t="inlineStr">
        <is>
          <t>All</t>
        </is>
      </c>
      <c r="G235" s="10" t="inlineStr">
        <is>
          <t>A quote built around your store, not a shelf price.</t>
        </is>
      </c>
      <c r="H235" s="10" t="inlineStr">
        <is>
          <t>Inspire</t>
        </is>
      </c>
      <c r="I235" s="10" t="inlineStr">
        <is>
          <t>Text</t>
        </is>
      </c>
      <c r="J235" s="10" t="inlineStr">
        <is>
          <t>LinkedIn</t>
        </is>
      </c>
      <c r="K235" s="10" t="inlineStr">
        <is>
          <t>Primary</t>
        </is>
      </c>
      <c r="L235" s="10" t="inlineStr">
        <is>
          <t>Why we built this (bonus, founder voice)</t>
        </is>
      </c>
      <c r="M235" s="10" t="inlineStr">
        <is>
          <t>Read more (link)</t>
        </is>
      </c>
      <c r="N235" s="10" t="inlineStr">
        <is>
          <t>No</t>
        </is>
      </c>
      <c r="O235" s="10" t="inlineStr">
        <is>
          <t>No</t>
        </is>
      </c>
      <c r="P235" s="10" t="inlineStr">
        <is>
          <t>Not started</t>
        </is>
      </c>
      <c r="Q235" s="10" t="inlineStr">
        <is>
          <t>Not started</t>
        </is>
      </c>
      <c r="R235" s="10" t="inlineStr"/>
      <c r="S235" s="10" t="inlineStr"/>
      <c r="T235" s="10" t="inlineStr"/>
      <c r="U235" s="10" t="n"/>
      <c r="V235" s="10">
        <f>IF(U235="","",IF(U235&gt;=70,"Pass","Hold"))</f>
        <v/>
      </c>
      <c r="W235" s="11" t="n">
        <v>46320</v>
      </c>
      <c r="X235" s="10" t="inlineStr">
        <is>
          <t>10:00 AM</t>
        </is>
      </c>
      <c r="Y235" s="10" t="inlineStr">
        <is>
          <t>Scheduled</t>
        </is>
      </c>
      <c r="Z235" s="11" t="n"/>
      <c r="AA235" s="10" t="inlineStr"/>
      <c r="AB235" s="10" t="inlineStr"/>
      <c r="AC235" s="10" t="n"/>
      <c r="AD235" s="10" t="n"/>
      <c r="AE235" s="10" t="n"/>
      <c r="AF235" s="10" t="n"/>
      <c r="AG235" s="10" t="n"/>
      <c r="AH235" s="10" t="n"/>
      <c r="AI235" s="10" t="n"/>
      <c r="AJ235" s="10" t="n"/>
      <c r="AK235" s="10" t="n"/>
      <c r="AL235" s="10" t="n"/>
      <c r="AM235" s="10" t="inlineStr">
        <is>
          <t>No</t>
        </is>
      </c>
      <c r="AN235" s="10" t="n"/>
      <c r="AO235" s="10" t="n"/>
      <c r="AP235" s="10">
        <f>IF(AND(AC235&lt;&gt;"",AO235&lt;&gt;"",AO235&gt;0),AC235/AO235,"")</f>
        <v/>
      </c>
      <c r="AQ235" s="10">
        <f>IF(AP235="","",IF(AP235&gt;=2,"A",IF(AP235&gt;=1.2,"B",IF(AP235&gt;=0.6,"C","D"))))</f>
        <v/>
      </c>
      <c r="AR235" s="10" t="inlineStr"/>
      <c r="AS235" s="11" t="inlineStr"/>
      <c r="AT235" s="10" t="inlineStr"/>
    </row>
    <row r="236">
      <c r="A236" s="10" t="inlineStr">
        <is>
          <t>W13-U1-LI</t>
        </is>
      </c>
      <c r="B236" s="10" t="inlineStr">
        <is>
          <t>W13-U1</t>
        </is>
      </c>
      <c r="C236" s="10" t="n">
        <v>13</v>
      </c>
      <c r="D236" s="11" t="n">
        <v>46321</v>
      </c>
      <c r="E236" s="10" t="inlineStr">
        <is>
          <t>Monday</t>
        </is>
      </c>
      <c r="F236" s="10" t="inlineStr">
        <is>
          <t>All</t>
        </is>
      </c>
      <c r="G236" s="10" t="inlineStr">
        <is>
          <t>(none — discovery/recap unit)</t>
        </is>
      </c>
      <c r="H236" s="10" t="inlineStr">
        <is>
          <t>Educate</t>
        </is>
      </c>
      <c r="I236" s="10" t="inlineStr">
        <is>
          <t>Text</t>
        </is>
      </c>
      <c r="J236" s="10" t="inlineStr">
        <is>
          <t>LinkedIn</t>
        </is>
      </c>
      <c r="K236" s="10" t="inlineStr">
        <is>
          <t>Primary</t>
        </is>
      </c>
      <c r="L236" s="10" t="inlineStr">
        <is>
          <t>Q3 in review: what we learned from this quarter's demos</t>
        </is>
      </c>
      <c r="M236" s="10" t="inlineStr">
        <is>
          <t>Read more (link)</t>
        </is>
      </c>
      <c r="N236" s="10" t="inlineStr">
        <is>
          <t>No</t>
        </is>
      </c>
      <c r="O236" s="10" t="inlineStr">
        <is>
          <t>No</t>
        </is>
      </c>
      <c r="P236" s="10" t="inlineStr">
        <is>
          <t>Not started</t>
        </is>
      </c>
      <c r="Q236" s="10" t="inlineStr">
        <is>
          <t>Not started</t>
        </is>
      </c>
      <c r="R236" s="10" t="inlineStr"/>
      <c r="S236" s="10" t="inlineStr"/>
      <c r="T236" s="10" t="inlineStr"/>
      <c r="U236" s="10" t="n"/>
      <c r="V236" s="10">
        <f>IF(U236="","",IF(U236&gt;=70,"Pass","Hold"))</f>
        <v/>
      </c>
      <c r="W236" s="11" t="n">
        <v>46321</v>
      </c>
      <c r="X236" s="10" t="inlineStr">
        <is>
          <t>10:00 AM</t>
        </is>
      </c>
      <c r="Y236" s="10" t="inlineStr">
        <is>
          <t>Scheduled</t>
        </is>
      </c>
      <c r="Z236" s="11" t="n"/>
      <c r="AA236" s="10" t="inlineStr"/>
      <c r="AB236" s="10" t="inlineStr"/>
      <c r="AC236" s="10" t="n"/>
      <c r="AD236" s="10" t="n"/>
      <c r="AE236" s="10" t="n"/>
      <c r="AF236" s="10" t="n"/>
      <c r="AG236" s="10" t="n"/>
      <c r="AH236" s="10" t="n"/>
      <c r="AI236" s="10" t="n"/>
      <c r="AJ236" s="10" t="n"/>
      <c r="AK236" s="10" t="n"/>
      <c r="AL236" s="10" t="n"/>
      <c r="AM236" s="10" t="inlineStr">
        <is>
          <t>No</t>
        </is>
      </c>
      <c r="AN236" s="10" t="n"/>
      <c r="AO236" s="10" t="n"/>
      <c r="AP236" s="10">
        <f>IF(AND(AC236&lt;&gt;"",AO236&lt;&gt;"",AO236&gt;0),AC236/AO236,"")</f>
        <v/>
      </c>
      <c r="AQ236" s="10">
        <f>IF(AP236="","",IF(AP236&gt;=2,"A",IF(AP236&gt;=1.2,"B",IF(AP236&gt;=0.6,"C","D"))))</f>
        <v/>
      </c>
      <c r="AR236" s="10" t="inlineStr"/>
      <c r="AS236" s="11" t="inlineStr"/>
      <c r="AT236" s="10" t="inlineStr"/>
    </row>
    <row r="237">
      <c r="A237" s="10" t="inlineStr">
        <is>
          <t>W13-U1-FA</t>
        </is>
      </c>
      <c r="B237" s="10" t="inlineStr">
        <is>
          <t>W13-U1</t>
        </is>
      </c>
      <c r="C237" s="10" t="n">
        <v>13</v>
      </c>
      <c r="D237" s="11" t="n">
        <v>46321</v>
      </c>
      <c r="E237" s="10" t="inlineStr">
        <is>
          <t>Monday</t>
        </is>
      </c>
      <c r="F237" s="10" t="inlineStr">
        <is>
          <t>All</t>
        </is>
      </c>
      <c r="G237" s="10" t="inlineStr">
        <is>
          <t>(none — discovery/recap unit)</t>
        </is>
      </c>
      <c r="H237" s="10" t="inlineStr">
        <is>
          <t>Educate</t>
        </is>
      </c>
      <c r="I237" s="10" t="inlineStr">
        <is>
          <t>Text</t>
        </is>
      </c>
      <c r="J237" s="10" t="inlineStr">
        <is>
          <t>Facebook</t>
        </is>
      </c>
      <c r="K237" s="10" t="inlineStr">
        <is>
          <t>Primary</t>
        </is>
      </c>
      <c r="L237" s="10" t="inlineStr">
        <is>
          <t>Q3 in review: what we learned from this quarter's demos</t>
        </is>
      </c>
      <c r="M237" s="10" t="inlineStr">
        <is>
          <t>Read more (link)</t>
        </is>
      </c>
      <c r="N237" s="10" t="inlineStr">
        <is>
          <t>No</t>
        </is>
      </c>
      <c r="O237" s="10" t="inlineStr">
        <is>
          <t>No</t>
        </is>
      </c>
      <c r="P237" s="10" t="inlineStr">
        <is>
          <t>Not started</t>
        </is>
      </c>
      <c r="Q237" s="10" t="inlineStr">
        <is>
          <t>Not started</t>
        </is>
      </c>
      <c r="R237" s="10" t="inlineStr"/>
      <c r="S237" s="10" t="inlineStr"/>
      <c r="T237" s="10" t="inlineStr"/>
      <c r="U237" s="10" t="n"/>
      <c r="V237" s="10">
        <f>IF(U237="","",IF(U237&gt;=70,"Pass","Hold"))</f>
        <v/>
      </c>
      <c r="W237" s="11" t="n">
        <v>46321</v>
      </c>
      <c r="X237" s="10" t="inlineStr">
        <is>
          <t>10:00 AM</t>
        </is>
      </c>
      <c r="Y237" s="10" t="inlineStr">
        <is>
          <t>Scheduled</t>
        </is>
      </c>
      <c r="Z237" s="11" t="n"/>
      <c r="AA237" s="10" t="inlineStr"/>
      <c r="AB237" s="10" t="inlineStr"/>
      <c r="AC237" s="10" t="n"/>
      <c r="AD237" s="10" t="n"/>
      <c r="AE237" s="10" t="n"/>
      <c r="AF237" s="10" t="n"/>
      <c r="AG237" s="10" t="n"/>
      <c r="AH237" s="10" t="n"/>
      <c r="AI237" s="10" t="n"/>
      <c r="AJ237" s="10" t="n"/>
      <c r="AK237" s="10" t="n"/>
      <c r="AL237" s="10" t="n"/>
      <c r="AM237" s="10" t="inlineStr">
        <is>
          <t>No</t>
        </is>
      </c>
      <c r="AN237" s="10" t="n"/>
      <c r="AO237" s="10" t="n"/>
      <c r="AP237" s="10">
        <f>IF(AND(AC237&lt;&gt;"",AO237&lt;&gt;"",AO237&gt;0),AC237/AO237,"")</f>
        <v/>
      </c>
      <c r="AQ237" s="10">
        <f>IF(AP237="","",IF(AP237&gt;=2,"A",IF(AP237&gt;=1.2,"B",IF(AP237&gt;=0.6,"C","D"))))</f>
        <v/>
      </c>
      <c r="AR237" s="10" t="inlineStr"/>
      <c r="AS237" s="11" t="inlineStr"/>
      <c r="AT237" s="10" t="inlineStr"/>
    </row>
    <row r="238">
      <c r="A238" s="10" t="inlineStr">
        <is>
          <t>W13-U1-BL</t>
        </is>
      </c>
      <c r="B238" s="10" t="inlineStr">
        <is>
          <t>W13-U1</t>
        </is>
      </c>
      <c r="C238" s="10" t="n">
        <v>13</v>
      </c>
      <c r="D238" s="11" t="n">
        <v>46321</v>
      </c>
      <c r="E238" s="10" t="inlineStr">
        <is>
          <t>Monday</t>
        </is>
      </c>
      <c r="F238" s="10" t="inlineStr">
        <is>
          <t>All</t>
        </is>
      </c>
      <c r="G238" s="10" t="inlineStr">
        <is>
          <t>(none — discovery/recap unit)</t>
        </is>
      </c>
      <c r="H238" s="10" t="inlineStr">
        <is>
          <t>Educate</t>
        </is>
      </c>
      <c r="I238" s="10" t="inlineStr">
        <is>
          <t>Text</t>
        </is>
      </c>
      <c r="J238" s="10" t="inlineStr">
        <is>
          <t>Blog/SEO</t>
        </is>
      </c>
      <c r="K238" s="10" t="inlineStr">
        <is>
          <t>Primary</t>
        </is>
      </c>
      <c r="L238" s="10" t="inlineStr">
        <is>
          <t>Q3 in review: what we learned from this quarter's demos</t>
        </is>
      </c>
      <c r="M238" s="10" t="inlineStr">
        <is>
          <t>Read more (link)</t>
        </is>
      </c>
      <c r="N238" s="10" t="inlineStr">
        <is>
          <t>No</t>
        </is>
      </c>
      <c r="O238" s="10" t="inlineStr">
        <is>
          <t>No</t>
        </is>
      </c>
      <c r="P238" s="10" t="inlineStr">
        <is>
          <t>Not started</t>
        </is>
      </c>
      <c r="Q238" s="10" t="inlineStr">
        <is>
          <t>Not started</t>
        </is>
      </c>
      <c r="R238" s="10" t="inlineStr"/>
      <c r="S238" s="10" t="inlineStr"/>
      <c r="T238" s="10" t="inlineStr"/>
      <c r="U238" s="10" t="n"/>
      <c r="V238" s="10">
        <f>IF(U238="","",IF(U238&gt;=70,"Pass","Hold"))</f>
        <v/>
      </c>
      <c r="W238" s="11" t="n">
        <v>46321</v>
      </c>
      <c r="X238" s="10" t="inlineStr">
        <is>
          <t>10:00 AM</t>
        </is>
      </c>
      <c r="Y238" s="10" t="inlineStr">
        <is>
          <t>Scheduled</t>
        </is>
      </c>
      <c r="Z238" s="11" t="n"/>
      <c r="AA238" s="10" t="inlineStr"/>
      <c r="AB238" s="10" t="inlineStr"/>
      <c r="AC238" s="10" t="n"/>
      <c r="AD238" s="10" t="n"/>
      <c r="AE238" s="10" t="n"/>
      <c r="AF238" s="10" t="n"/>
      <c r="AG238" s="10" t="n"/>
      <c r="AH238" s="10" t="n"/>
      <c r="AI238" s="10" t="n"/>
      <c r="AJ238" s="10" t="n"/>
      <c r="AK238" s="10" t="n"/>
      <c r="AL238" s="10" t="n"/>
      <c r="AM238" s="10" t="inlineStr">
        <is>
          <t>No</t>
        </is>
      </c>
      <c r="AN238" s="10" t="n"/>
      <c r="AO238" s="10" t="n"/>
      <c r="AP238" s="10">
        <f>IF(AND(AC238&lt;&gt;"",AO238&lt;&gt;"",AO238&gt;0),AC238/AO238,"")</f>
        <v/>
      </c>
      <c r="AQ238" s="10">
        <f>IF(AP238="","",IF(AP238&gt;=2,"A",IF(AP238&gt;=1.2,"B",IF(AP238&gt;=0.6,"C","D"))))</f>
        <v/>
      </c>
      <c r="AR238" s="10" t="inlineStr"/>
      <c r="AS238" s="11" t="inlineStr"/>
      <c r="AT238" s="10" t="inlineStr"/>
    </row>
    <row r="239">
      <c r="A239" s="10" t="inlineStr">
        <is>
          <t>W13-U1-X</t>
        </is>
      </c>
      <c r="B239" s="10" t="inlineStr">
        <is>
          <t>W13-U1</t>
        </is>
      </c>
      <c r="C239" s="10" t="n">
        <v>13</v>
      </c>
      <c r="D239" s="11" t="n">
        <v>46321</v>
      </c>
      <c r="E239" s="10" t="inlineStr">
        <is>
          <t>Monday</t>
        </is>
      </c>
      <c r="F239" s="10" t="inlineStr">
        <is>
          <t>All</t>
        </is>
      </c>
      <c r="G239" s="10" t="inlineStr">
        <is>
          <t>(none — discovery/recap unit)</t>
        </is>
      </c>
      <c r="H239" s="10" t="inlineStr">
        <is>
          <t>Educate</t>
        </is>
      </c>
      <c r="I239" s="10" t="inlineStr">
        <is>
          <t>Text</t>
        </is>
      </c>
      <c r="J239" s="10" t="inlineStr">
        <is>
          <t>X</t>
        </is>
      </c>
      <c r="K239" s="10" t="inlineStr">
        <is>
          <t>Mirror</t>
        </is>
      </c>
      <c r="L239" s="10" t="inlineStr">
        <is>
          <t>Q3 in review: what we learned from this quarter's demos</t>
        </is>
      </c>
      <c r="M239" s="10" t="inlineStr">
        <is>
          <t>Read more (link)</t>
        </is>
      </c>
      <c r="N239" s="10" t="inlineStr">
        <is>
          <t>No</t>
        </is>
      </c>
      <c r="O239" s="10" t="inlineStr">
        <is>
          <t>No</t>
        </is>
      </c>
      <c r="P239" s="10" t="inlineStr">
        <is>
          <t>Not started</t>
        </is>
      </c>
      <c r="Q239" s="10" t="inlineStr">
        <is>
          <t>Not started</t>
        </is>
      </c>
      <c r="R239" s="10" t="inlineStr"/>
      <c r="S239" s="10" t="inlineStr"/>
      <c r="T239" s="10" t="inlineStr"/>
      <c r="U239" s="10" t="n"/>
      <c r="V239" s="10">
        <f>IF(U239="","",IF(U239&gt;=70,"Pass","Hold"))</f>
        <v/>
      </c>
      <c r="W239" s="11" t="n">
        <v>46321</v>
      </c>
      <c r="X239" s="10" t="inlineStr">
        <is>
          <t>10:00 AM</t>
        </is>
      </c>
      <c r="Y239" s="10" t="inlineStr">
        <is>
          <t>Scheduled</t>
        </is>
      </c>
      <c r="Z239" s="11" t="n"/>
      <c r="AA239" s="10" t="inlineStr"/>
      <c r="AB239" s="10" t="inlineStr"/>
      <c r="AC239" s="10" t="n"/>
      <c r="AD239" s="10" t="n"/>
      <c r="AE239" s="10" t="n"/>
      <c r="AF239" s="10" t="n"/>
      <c r="AG239" s="10" t="n"/>
      <c r="AH239" s="10" t="n"/>
      <c r="AI239" s="10" t="n"/>
      <c r="AJ239" s="10" t="n"/>
      <c r="AK239" s="10" t="n"/>
      <c r="AL239" s="10" t="n"/>
      <c r="AM239" s="10" t="inlineStr">
        <is>
          <t>No</t>
        </is>
      </c>
      <c r="AN239" s="10" t="n"/>
      <c r="AO239" s="10" t="n"/>
      <c r="AP239" s="10">
        <f>IF(AND(AC239&lt;&gt;"",AO239&lt;&gt;"",AO239&gt;0),AC239/AO239,"")</f>
        <v/>
      </c>
      <c r="AQ239" s="10">
        <f>IF(AP239="","",IF(AP239&gt;=2,"A",IF(AP239&gt;=1.2,"B",IF(AP239&gt;=0.6,"C","D"))))</f>
        <v/>
      </c>
      <c r="AR239" s="10" t="inlineStr"/>
      <c r="AS239" s="11" t="inlineStr"/>
      <c r="AT239" s="10" t="inlineStr"/>
    </row>
    <row r="240">
      <c r="A240" s="10" t="inlineStr">
        <is>
          <t>W13-U2-IN</t>
        </is>
      </c>
      <c r="B240" s="10" t="inlineStr">
        <is>
          <t>W13-U2</t>
        </is>
      </c>
      <c r="C240" s="10" t="n">
        <v>13</v>
      </c>
      <c r="D240" s="11" t="n">
        <v>46322</v>
      </c>
      <c r="E240" s="10" t="inlineStr">
        <is>
          <t>Tuesday</t>
        </is>
      </c>
      <c r="F240" s="10" t="inlineStr">
        <is>
          <t>All</t>
        </is>
      </c>
      <c r="G240" s="10" t="inlineStr">
        <is>
          <t>(none — discovery/recap unit)</t>
        </is>
      </c>
      <c r="H240" s="10" t="inlineStr">
        <is>
          <t>Promote</t>
        </is>
      </c>
      <c r="I240" s="10" t="inlineStr">
        <is>
          <t>Carousel</t>
        </is>
      </c>
      <c r="J240" s="10" t="inlineStr">
        <is>
          <t>Instagram</t>
        </is>
      </c>
      <c r="K240" s="10" t="inlineStr">
        <is>
          <t>Primary</t>
        </is>
      </c>
      <c r="L240" s="10" t="inlineStr">
        <is>
          <t>The five pillars, recapped</t>
        </is>
      </c>
      <c r="M240" s="10" t="inlineStr">
        <is>
          <t>Book a demo</t>
        </is>
      </c>
      <c r="N240" s="10" t="inlineStr">
        <is>
          <t>No</t>
        </is>
      </c>
      <c r="O240" s="10" t="inlineStr">
        <is>
          <t>No</t>
        </is>
      </c>
      <c r="P240" s="10" t="inlineStr">
        <is>
          <t>Not started</t>
        </is>
      </c>
      <c r="Q240" s="10" t="inlineStr">
        <is>
          <t>Not started</t>
        </is>
      </c>
      <c r="R240" s="10" t="inlineStr"/>
      <c r="S240" s="10" t="inlineStr"/>
      <c r="T240" s="10" t="inlineStr"/>
      <c r="U240" s="10" t="n"/>
      <c r="V240" s="10">
        <f>IF(U240="","",IF(U240&gt;=70,"Pass","Hold"))</f>
        <v/>
      </c>
      <c r="W240" s="11" t="n">
        <v>46322</v>
      </c>
      <c r="X240" s="10" t="inlineStr">
        <is>
          <t>10:00 AM</t>
        </is>
      </c>
      <c r="Y240" s="10" t="inlineStr">
        <is>
          <t>Scheduled</t>
        </is>
      </c>
      <c r="Z240" s="11" t="n"/>
      <c r="AA240" s="10" t="inlineStr"/>
      <c r="AB240" s="10" t="inlineStr"/>
      <c r="AC240" s="10" t="n"/>
      <c r="AD240" s="10" t="n"/>
      <c r="AE240" s="10" t="n"/>
      <c r="AF240" s="10" t="n"/>
      <c r="AG240" s="10" t="n"/>
      <c r="AH240" s="10" t="n"/>
      <c r="AI240" s="10" t="n"/>
      <c r="AJ240" s="10" t="n"/>
      <c r="AK240" s="10" t="n"/>
      <c r="AL240" s="10" t="n"/>
      <c r="AM240" s="10" t="inlineStr">
        <is>
          <t>No</t>
        </is>
      </c>
      <c r="AN240" s="10" t="n"/>
      <c r="AO240" s="10" t="n"/>
      <c r="AP240" s="10">
        <f>IF(AND(AC240&lt;&gt;"",AO240&lt;&gt;"",AO240&gt;0),AC240/AO240,"")</f>
        <v/>
      </c>
      <c r="AQ240" s="10">
        <f>IF(AP240="","",IF(AP240&gt;=2,"A",IF(AP240&gt;=1.2,"B",IF(AP240&gt;=0.6,"C","D"))))</f>
        <v/>
      </c>
      <c r="AR240" s="10" t="inlineStr"/>
      <c r="AS240" s="11" t="inlineStr"/>
      <c r="AT240" s="10" t="inlineStr"/>
    </row>
    <row r="241">
      <c r="A241" s="10" t="inlineStr">
        <is>
          <t>W13-U2-FA</t>
        </is>
      </c>
      <c r="B241" s="10" t="inlineStr">
        <is>
          <t>W13-U2</t>
        </is>
      </c>
      <c r="C241" s="10" t="n">
        <v>13</v>
      </c>
      <c r="D241" s="11" t="n">
        <v>46322</v>
      </c>
      <c r="E241" s="10" t="inlineStr">
        <is>
          <t>Tuesday</t>
        </is>
      </c>
      <c r="F241" s="10" t="inlineStr">
        <is>
          <t>All</t>
        </is>
      </c>
      <c r="G241" s="10" t="inlineStr">
        <is>
          <t>(none — discovery/recap unit)</t>
        </is>
      </c>
      <c r="H241" s="10" t="inlineStr">
        <is>
          <t>Promote</t>
        </is>
      </c>
      <c r="I241" s="10" t="inlineStr">
        <is>
          <t>Carousel</t>
        </is>
      </c>
      <c r="J241" s="10" t="inlineStr">
        <is>
          <t>Facebook</t>
        </is>
      </c>
      <c r="K241" s="10" t="inlineStr">
        <is>
          <t>Mirror</t>
        </is>
      </c>
      <c r="L241" s="10" t="inlineStr">
        <is>
          <t>The five pillars, recapped</t>
        </is>
      </c>
      <c r="M241" s="10" t="inlineStr">
        <is>
          <t>Book a demo</t>
        </is>
      </c>
      <c r="N241" s="10" t="inlineStr">
        <is>
          <t>No</t>
        </is>
      </c>
      <c r="O241" s="10" t="inlineStr">
        <is>
          <t>No</t>
        </is>
      </c>
      <c r="P241" s="10" t="inlineStr">
        <is>
          <t>Not started</t>
        </is>
      </c>
      <c r="Q241" s="10" t="inlineStr">
        <is>
          <t>Not started</t>
        </is>
      </c>
      <c r="R241" s="10" t="inlineStr"/>
      <c r="S241" s="10" t="inlineStr"/>
      <c r="T241" s="10" t="inlineStr"/>
      <c r="U241" s="10" t="n"/>
      <c r="V241" s="10">
        <f>IF(U241="","",IF(U241&gt;=70,"Pass","Hold"))</f>
        <v/>
      </c>
      <c r="W241" s="11" t="n">
        <v>46322</v>
      </c>
      <c r="X241" s="10" t="inlineStr">
        <is>
          <t>10:00 AM</t>
        </is>
      </c>
      <c r="Y241" s="10" t="inlineStr">
        <is>
          <t>Scheduled</t>
        </is>
      </c>
      <c r="Z241" s="11" t="n"/>
      <c r="AA241" s="10" t="inlineStr"/>
      <c r="AB241" s="10" t="inlineStr"/>
      <c r="AC241" s="10" t="n"/>
      <c r="AD241" s="10" t="n"/>
      <c r="AE241" s="10" t="n"/>
      <c r="AF241" s="10" t="n"/>
      <c r="AG241" s="10" t="n"/>
      <c r="AH241" s="10" t="n"/>
      <c r="AI241" s="10" t="n"/>
      <c r="AJ241" s="10" t="n"/>
      <c r="AK241" s="10" t="n"/>
      <c r="AL241" s="10" t="n"/>
      <c r="AM241" s="10" t="inlineStr">
        <is>
          <t>No</t>
        </is>
      </c>
      <c r="AN241" s="10" t="n"/>
      <c r="AO241" s="10" t="n"/>
      <c r="AP241" s="10">
        <f>IF(AND(AC241&lt;&gt;"",AO241&lt;&gt;"",AO241&gt;0),AC241/AO241,"")</f>
        <v/>
      </c>
      <c r="AQ241" s="10">
        <f>IF(AP241="","",IF(AP241&gt;=2,"A",IF(AP241&gt;=1.2,"B",IF(AP241&gt;=0.6,"C","D"))))</f>
        <v/>
      </c>
      <c r="AR241" s="10" t="inlineStr"/>
      <c r="AS241" s="11" t="inlineStr"/>
      <c r="AT241" s="10" t="inlineStr"/>
    </row>
    <row r="242">
      <c r="A242" s="10" t="inlineStr">
        <is>
          <t>W13-U2-LI</t>
        </is>
      </c>
      <c r="B242" s="10" t="inlineStr">
        <is>
          <t>W13-U2</t>
        </is>
      </c>
      <c r="C242" s="10" t="n">
        <v>13</v>
      </c>
      <c r="D242" s="11" t="n">
        <v>46322</v>
      </c>
      <c r="E242" s="10" t="inlineStr">
        <is>
          <t>Tuesday</t>
        </is>
      </c>
      <c r="F242" s="10" t="inlineStr">
        <is>
          <t>All</t>
        </is>
      </c>
      <c r="G242" s="10" t="inlineStr">
        <is>
          <t>(none — discovery/recap unit)</t>
        </is>
      </c>
      <c r="H242" s="10" t="inlineStr">
        <is>
          <t>Promote</t>
        </is>
      </c>
      <c r="I242" s="10" t="inlineStr">
        <is>
          <t>Carousel</t>
        </is>
      </c>
      <c r="J242" s="10" t="inlineStr">
        <is>
          <t>LinkedIn</t>
        </is>
      </c>
      <c r="K242" s="10" t="inlineStr">
        <is>
          <t>Adapted</t>
        </is>
      </c>
      <c r="L242" s="10" t="inlineStr">
        <is>
          <t>The five pillars, recapped</t>
        </is>
      </c>
      <c r="M242" s="10" t="inlineStr">
        <is>
          <t>Book a demo</t>
        </is>
      </c>
      <c r="N242" s="10" t="inlineStr">
        <is>
          <t>No</t>
        </is>
      </c>
      <c r="O242" s="10" t="inlineStr">
        <is>
          <t>No</t>
        </is>
      </c>
      <c r="P242" s="10" t="inlineStr">
        <is>
          <t>Not started</t>
        </is>
      </c>
      <c r="Q242" s="10" t="inlineStr">
        <is>
          <t>Not started</t>
        </is>
      </c>
      <c r="R242" s="10" t="inlineStr"/>
      <c r="S242" s="10" t="inlineStr"/>
      <c r="T242" s="10" t="inlineStr"/>
      <c r="U242" s="10" t="n"/>
      <c r="V242" s="10">
        <f>IF(U242="","",IF(U242&gt;=70,"Pass","Hold"))</f>
        <v/>
      </c>
      <c r="W242" s="11" t="n">
        <v>46322</v>
      </c>
      <c r="X242" s="10" t="inlineStr">
        <is>
          <t>10:00 AM</t>
        </is>
      </c>
      <c r="Y242" s="10" t="inlineStr">
        <is>
          <t>Scheduled</t>
        </is>
      </c>
      <c r="Z242" s="11" t="n"/>
      <c r="AA242" s="10" t="inlineStr"/>
      <c r="AB242" s="10" t="inlineStr"/>
      <c r="AC242" s="10" t="n"/>
      <c r="AD242" s="10" t="n"/>
      <c r="AE242" s="10" t="n"/>
      <c r="AF242" s="10" t="n"/>
      <c r="AG242" s="10" t="n"/>
      <c r="AH242" s="10" t="n"/>
      <c r="AI242" s="10" t="n"/>
      <c r="AJ242" s="10" t="n"/>
      <c r="AK242" s="10" t="n"/>
      <c r="AL242" s="10" t="n"/>
      <c r="AM242" s="10" t="inlineStr">
        <is>
          <t>No</t>
        </is>
      </c>
      <c r="AN242" s="10" t="n"/>
      <c r="AO242" s="10" t="n"/>
      <c r="AP242" s="10">
        <f>IF(AND(AC242&lt;&gt;"",AO242&lt;&gt;"",AO242&gt;0),AC242/AO242,"")</f>
        <v/>
      </c>
      <c r="AQ242" s="10">
        <f>IF(AP242="","",IF(AP242&gt;=2,"A",IF(AP242&gt;=1.2,"B",IF(AP242&gt;=0.6,"C","D"))))</f>
        <v/>
      </c>
      <c r="AR242" s="10" t="inlineStr"/>
      <c r="AS242" s="11" t="inlineStr"/>
      <c r="AT242" s="10" t="inlineStr"/>
    </row>
    <row r="243">
      <c r="A243" s="10" t="inlineStr">
        <is>
          <t>W13-U3-IN</t>
        </is>
      </c>
      <c r="B243" s="10" t="inlineStr">
        <is>
          <t>W13-U3</t>
        </is>
      </c>
      <c r="C243" s="10" t="n">
        <v>13</v>
      </c>
      <c r="D243" s="11" t="n">
        <v>46323</v>
      </c>
      <c r="E243" s="10" t="inlineStr">
        <is>
          <t>Wednesday</t>
        </is>
      </c>
      <c r="F243" s="10" t="inlineStr">
        <is>
          <t>All</t>
        </is>
      </c>
      <c r="G243" s="10" t="inlineStr">
        <is>
          <t>A quote built around your store, not a shelf price.</t>
        </is>
      </c>
      <c r="H243" s="10" t="inlineStr">
        <is>
          <t>Promote</t>
        </is>
      </c>
      <c r="I243" s="10" t="inlineStr">
        <is>
          <t>Video</t>
        </is>
      </c>
      <c r="J243" s="10" t="inlineStr">
        <is>
          <t>Instagram</t>
        </is>
      </c>
      <c r="K243" s="10" t="inlineStr">
        <is>
          <t>Primary</t>
        </is>
      </c>
      <c r="L243" s="10" t="inlineStr">
        <is>
          <t>Watch us, live</t>
        </is>
      </c>
      <c r="M243" s="10" t="inlineStr">
        <is>
          <t>Save your spot</t>
        </is>
      </c>
      <c r="N243" s="10" t="inlineStr">
        <is>
          <t>No</t>
        </is>
      </c>
      <c r="O243" s="10" t="inlineStr">
        <is>
          <t>No</t>
        </is>
      </c>
      <c r="P243" s="10" t="inlineStr">
        <is>
          <t>Not started</t>
        </is>
      </c>
      <c r="Q243" s="10" t="inlineStr">
        <is>
          <t>Not started</t>
        </is>
      </c>
      <c r="R243" s="10" t="inlineStr"/>
      <c r="S243" s="10" t="inlineStr"/>
      <c r="T243" s="10" t="inlineStr"/>
      <c r="U243" s="10" t="n"/>
      <c r="V243" s="10">
        <f>IF(U243="","",IF(U243&gt;=70,"Pass","Hold"))</f>
        <v/>
      </c>
      <c r="W243" s="11" t="n">
        <v>46323</v>
      </c>
      <c r="X243" s="10" t="inlineStr">
        <is>
          <t>10:00 AM</t>
        </is>
      </c>
      <c r="Y243" s="10" t="inlineStr">
        <is>
          <t>Scheduled</t>
        </is>
      </c>
      <c r="Z243" s="11" t="n"/>
      <c r="AA243" s="10" t="inlineStr"/>
      <c r="AB243" s="10" t="inlineStr"/>
      <c r="AC243" s="10" t="n"/>
      <c r="AD243" s="10" t="n"/>
      <c r="AE243" s="10" t="n"/>
      <c r="AF243" s="10" t="n"/>
      <c r="AG243" s="10" t="n"/>
      <c r="AH243" s="10" t="n"/>
      <c r="AI243" s="10" t="n"/>
      <c r="AJ243" s="10" t="n"/>
      <c r="AK243" s="10" t="n"/>
      <c r="AL243" s="10" t="n"/>
      <c r="AM243" s="10" t="inlineStr">
        <is>
          <t>No</t>
        </is>
      </c>
      <c r="AN243" s="10" t="n"/>
      <c r="AO243" s="10" t="n"/>
      <c r="AP243" s="10">
        <f>IF(AND(AC243&lt;&gt;"",AO243&lt;&gt;"",AO243&gt;0),AC243/AO243,"")</f>
        <v/>
      </c>
      <c r="AQ243" s="10">
        <f>IF(AP243="","",IF(AP243&gt;=2,"A",IF(AP243&gt;=1.2,"B",IF(AP243&gt;=0.6,"C","D"))))</f>
        <v/>
      </c>
      <c r="AR243" s="10" t="inlineStr"/>
      <c r="AS243" s="11" t="inlineStr"/>
      <c r="AT243" s="10" t="inlineStr"/>
    </row>
    <row r="244">
      <c r="A244" s="10" t="inlineStr">
        <is>
          <t>W13-U3-TI</t>
        </is>
      </c>
      <c r="B244" s="10" t="inlineStr">
        <is>
          <t>W13-U3</t>
        </is>
      </c>
      <c r="C244" s="10" t="n">
        <v>13</v>
      </c>
      <c r="D244" s="11" t="n">
        <v>46323</v>
      </c>
      <c r="E244" s="10" t="inlineStr">
        <is>
          <t>Wednesday</t>
        </is>
      </c>
      <c r="F244" s="10" t="inlineStr">
        <is>
          <t>All</t>
        </is>
      </c>
      <c r="G244" s="10" t="inlineStr">
        <is>
          <t>A quote built around your store, not a shelf price.</t>
        </is>
      </c>
      <c r="H244" s="10" t="inlineStr">
        <is>
          <t>Promote</t>
        </is>
      </c>
      <c r="I244" s="10" t="inlineStr">
        <is>
          <t>Video</t>
        </is>
      </c>
      <c r="J244" s="10" t="inlineStr">
        <is>
          <t>TikTok</t>
        </is>
      </c>
      <c r="K244" s="10" t="inlineStr">
        <is>
          <t>Mirror</t>
        </is>
      </c>
      <c r="L244" s="10" t="inlineStr">
        <is>
          <t>Watch us, live</t>
        </is>
      </c>
      <c r="M244" s="10" t="inlineStr">
        <is>
          <t>Save your spot</t>
        </is>
      </c>
      <c r="N244" s="10" t="inlineStr">
        <is>
          <t>No</t>
        </is>
      </c>
      <c r="O244" s="10" t="inlineStr">
        <is>
          <t>No</t>
        </is>
      </c>
      <c r="P244" s="10" t="inlineStr">
        <is>
          <t>Not started</t>
        </is>
      </c>
      <c r="Q244" s="10" t="inlineStr">
        <is>
          <t>Not started</t>
        </is>
      </c>
      <c r="R244" s="10" t="inlineStr"/>
      <c r="S244" s="10" t="inlineStr"/>
      <c r="T244" s="10" t="inlineStr"/>
      <c r="U244" s="10" t="n"/>
      <c r="V244" s="10">
        <f>IF(U244="","",IF(U244&gt;=70,"Pass","Hold"))</f>
        <v/>
      </c>
      <c r="W244" s="11" t="n">
        <v>46323</v>
      </c>
      <c r="X244" s="10" t="inlineStr">
        <is>
          <t>10:00 AM</t>
        </is>
      </c>
      <c r="Y244" s="10" t="inlineStr">
        <is>
          <t>Scheduled</t>
        </is>
      </c>
      <c r="Z244" s="11" t="n"/>
      <c r="AA244" s="10" t="inlineStr"/>
      <c r="AB244" s="10" t="inlineStr"/>
      <c r="AC244" s="10" t="n"/>
      <c r="AD244" s="10" t="n"/>
      <c r="AE244" s="10" t="n"/>
      <c r="AF244" s="10" t="n"/>
      <c r="AG244" s="10" t="n"/>
      <c r="AH244" s="10" t="n"/>
      <c r="AI244" s="10" t="n"/>
      <c r="AJ244" s="10" t="n"/>
      <c r="AK244" s="10" t="n"/>
      <c r="AL244" s="10" t="n"/>
      <c r="AM244" s="10" t="inlineStr">
        <is>
          <t>No</t>
        </is>
      </c>
      <c r="AN244" s="10" t="n"/>
      <c r="AO244" s="10" t="n"/>
      <c r="AP244" s="10">
        <f>IF(AND(AC244&lt;&gt;"",AO244&lt;&gt;"",AO244&gt;0),AC244/AO244,"")</f>
        <v/>
      </c>
      <c r="AQ244" s="10">
        <f>IF(AP244="","",IF(AP244&gt;=2,"A",IF(AP244&gt;=1.2,"B",IF(AP244&gt;=0.6,"C","D"))))</f>
        <v/>
      </c>
      <c r="AR244" s="10" t="inlineStr"/>
      <c r="AS244" s="11" t="inlineStr"/>
      <c r="AT244" s="10" t="inlineStr"/>
    </row>
    <row r="245">
      <c r="A245" s="10" t="inlineStr">
        <is>
          <t>W13-U3-LI</t>
        </is>
      </c>
      <c r="B245" s="10" t="inlineStr">
        <is>
          <t>W13-U3</t>
        </is>
      </c>
      <c r="C245" s="10" t="n">
        <v>13</v>
      </c>
      <c r="D245" s="11" t="n">
        <v>46323</v>
      </c>
      <c r="E245" s="10" t="inlineStr">
        <is>
          <t>Wednesday</t>
        </is>
      </c>
      <c r="F245" s="10" t="inlineStr">
        <is>
          <t>All</t>
        </is>
      </c>
      <c r="G245" s="10" t="inlineStr">
        <is>
          <t>A quote built around your store, not a shelf price.</t>
        </is>
      </c>
      <c r="H245" s="10" t="inlineStr">
        <is>
          <t>Promote</t>
        </is>
      </c>
      <c r="I245" s="10" t="inlineStr">
        <is>
          <t>Video</t>
        </is>
      </c>
      <c r="J245" s="10" t="inlineStr">
        <is>
          <t>LinkedIn</t>
        </is>
      </c>
      <c r="K245" s="10" t="inlineStr">
        <is>
          <t>Adapted</t>
        </is>
      </c>
      <c r="L245" s="10" t="inlineStr">
        <is>
          <t>Watch us, live</t>
        </is>
      </c>
      <c r="M245" s="10" t="inlineStr">
        <is>
          <t>Save your spot</t>
        </is>
      </c>
      <c r="N245" s="10" t="inlineStr">
        <is>
          <t>No</t>
        </is>
      </c>
      <c r="O245" s="10" t="inlineStr">
        <is>
          <t>No</t>
        </is>
      </c>
      <c r="P245" s="10" t="inlineStr">
        <is>
          <t>Not started</t>
        </is>
      </c>
      <c r="Q245" s="10" t="inlineStr">
        <is>
          <t>Not started</t>
        </is>
      </c>
      <c r="R245" s="10" t="inlineStr"/>
      <c r="S245" s="10" t="inlineStr"/>
      <c r="T245" s="10" t="inlineStr"/>
      <c r="U245" s="10" t="n"/>
      <c r="V245" s="10">
        <f>IF(U245="","",IF(U245&gt;=70,"Pass","Hold"))</f>
        <v/>
      </c>
      <c r="W245" s="11" t="n">
        <v>46323</v>
      </c>
      <c r="X245" s="10" t="inlineStr">
        <is>
          <t>10:00 AM</t>
        </is>
      </c>
      <c r="Y245" s="10" t="inlineStr">
        <is>
          <t>Scheduled</t>
        </is>
      </c>
      <c r="Z245" s="11" t="n"/>
      <c r="AA245" s="10" t="inlineStr"/>
      <c r="AB245" s="10" t="inlineStr"/>
      <c r="AC245" s="10" t="n"/>
      <c r="AD245" s="10" t="n"/>
      <c r="AE245" s="10" t="n"/>
      <c r="AF245" s="10" t="n"/>
      <c r="AG245" s="10" t="n"/>
      <c r="AH245" s="10" t="n"/>
      <c r="AI245" s="10" t="n"/>
      <c r="AJ245" s="10" t="n"/>
      <c r="AK245" s="10" t="n"/>
      <c r="AL245" s="10" t="n"/>
      <c r="AM245" s="10" t="inlineStr">
        <is>
          <t>No</t>
        </is>
      </c>
      <c r="AN245" s="10" t="n"/>
      <c r="AO245" s="10" t="n"/>
      <c r="AP245" s="10">
        <f>IF(AND(AC245&lt;&gt;"",AO245&lt;&gt;"",AO245&gt;0),AC245/AO245,"")</f>
        <v/>
      </c>
      <c r="AQ245" s="10">
        <f>IF(AP245="","",IF(AP245&gt;=2,"A",IF(AP245&gt;=1.2,"B",IF(AP245&gt;=0.6,"C","D"))))</f>
        <v/>
      </c>
      <c r="AR245" s="10" t="inlineStr"/>
      <c r="AS245" s="11" t="inlineStr"/>
      <c r="AT245" s="10" t="inlineStr"/>
    </row>
    <row r="246">
      <c r="A246" s="10" t="inlineStr">
        <is>
          <t>W13-U4-LI</t>
        </is>
      </c>
      <c r="B246" s="10" t="inlineStr">
        <is>
          <t>W13-U4</t>
        </is>
      </c>
      <c r="C246" s="10" t="n">
        <v>13</v>
      </c>
      <c r="D246" s="11" t="n">
        <v>46324</v>
      </c>
      <c r="E246" s="10" t="inlineStr">
        <is>
          <t>Thursday</t>
        </is>
      </c>
      <c r="F246" s="10" t="inlineStr">
        <is>
          <t>All</t>
        </is>
      </c>
      <c r="G246" s="10" t="inlineStr">
        <is>
          <t>A quote built around your store, not a shelf price.</t>
        </is>
      </c>
      <c r="H246" s="10" t="inlineStr">
        <is>
          <t>Promote</t>
        </is>
      </c>
      <c r="I246" s="10" t="inlineStr">
        <is>
          <t>Static</t>
        </is>
      </c>
      <c r="J246" s="10" t="inlineStr">
        <is>
          <t>LinkedIn</t>
        </is>
      </c>
      <c r="K246" s="10" t="inlineStr">
        <is>
          <t>Primary</t>
        </is>
      </c>
      <c r="L246" s="10" t="inlineStr">
        <is>
          <t>Open demo: the details</t>
        </is>
      </c>
      <c r="M246" s="10" t="inlineStr">
        <is>
          <t>Save your spot</t>
        </is>
      </c>
      <c r="N246" s="10" t="inlineStr">
        <is>
          <t>No</t>
        </is>
      </c>
      <c r="O246" s="10" t="inlineStr">
        <is>
          <t>No</t>
        </is>
      </c>
      <c r="P246" s="10" t="inlineStr">
        <is>
          <t>Not started</t>
        </is>
      </c>
      <c r="Q246" s="10" t="inlineStr">
        <is>
          <t>Not started</t>
        </is>
      </c>
      <c r="R246" s="10" t="inlineStr"/>
      <c r="S246" s="10" t="inlineStr"/>
      <c r="T246" s="10" t="inlineStr"/>
      <c r="U246" s="10" t="n"/>
      <c r="V246" s="10">
        <f>IF(U246="","",IF(U246&gt;=70,"Pass","Hold"))</f>
        <v/>
      </c>
      <c r="W246" s="11" t="n">
        <v>46324</v>
      </c>
      <c r="X246" s="10" t="inlineStr">
        <is>
          <t>10:00 AM</t>
        </is>
      </c>
      <c r="Y246" s="10" t="inlineStr">
        <is>
          <t>Scheduled</t>
        </is>
      </c>
      <c r="Z246" s="11" t="n"/>
      <c r="AA246" s="10" t="inlineStr"/>
      <c r="AB246" s="10" t="inlineStr"/>
      <c r="AC246" s="10" t="n"/>
      <c r="AD246" s="10" t="n"/>
      <c r="AE246" s="10" t="n"/>
      <c r="AF246" s="10" t="n"/>
      <c r="AG246" s="10" t="n"/>
      <c r="AH246" s="10" t="n"/>
      <c r="AI246" s="10" t="n"/>
      <c r="AJ246" s="10" t="n"/>
      <c r="AK246" s="10" t="n"/>
      <c r="AL246" s="10" t="n"/>
      <c r="AM246" s="10" t="inlineStr">
        <is>
          <t>No</t>
        </is>
      </c>
      <c r="AN246" s="10" t="n"/>
      <c r="AO246" s="10" t="n"/>
      <c r="AP246" s="10">
        <f>IF(AND(AC246&lt;&gt;"",AO246&lt;&gt;"",AO246&gt;0),AC246/AO246,"")</f>
        <v/>
      </c>
      <c r="AQ246" s="10">
        <f>IF(AP246="","",IF(AP246&gt;=2,"A",IF(AP246&gt;=1.2,"B",IF(AP246&gt;=0.6,"C","D"))))</f>
        <v/>
      </c>
      <c r="AR246" s="10" t="inlineStr"/>
      <c r="AS246" s="11" t="inlineStr"/>
      <c r="AT246" s="10" t="inlineStr"/>
    </row>
    <row r="247">
      <c r="A247" s="10" t="inlineStr">
        <is>
          <t>W13-U4-FA</t>
        </is>
      </c>
      <c r="B247" s="10" t="inlineStr">
        <is>
          <t>W13-U4</t>
        </is>
      </c>
      <c r="C247" s="10" t="n">
        <v>13</v>
      </c>
      <c r="D247" s="11" t="n">
        <v>46324</v>
      </c>
      <c r="E247" s="10" t="inlineStr">
        <is>
          <t>Thursday</t>
        </is>
      </c>
      <c r="F247" s="10" t="inlineStr">
        <is>
          <t>All</t>
        </is>
      </c>
      <c r="G247" s="10" t="inlineStr">
        <is>
          <t>A quote built around your store, not a shelf price.</t>
        </is>
      </c>
      <c r="H247" s="10" t="inlineStr">
        <is>
          <t>Promote</t>
        </is>
      </c>
      <c r="I247" s="10" t="inlineStr">
        <is>
          <t>Static</t>
        </is>
      </c>
      <c r="J247" s="10" t="inlineStr">
        <is>
          <t>Facebook</t>
        </is>
      </c>
      <c r="K247" s="10" t="inlineStr">
        <is>
          <t>Primary</t>
        </is>
      </c>
      <c r="L247" s="10" t="inlineStr">
        <is>
          <t>Open demo: the details</t>
        </is>
      </c>
      <c r="M247" s="10" t="inlineStr">
        <is>
          <t>Save your spot</t>
        </is>
      </c>
      <c r="N247" s="10" t="inlineStr">
        <is>
          <t>No</t>
        </is>
      </c>
      <c r="O247" s="10" t="inlineStr">
        <is>
          <t>No</t>
        </is>
      </c>
      <c r="P247" s="10" t="inlineStr">
        <is>
          <t>Not started</t>
        </is>
      </c>
      <c r="Q247" s="10" t="inlineStr">
        <is>
          <t>Not started</t>
        </is>
      </c>
      <c r="R247" s="10" t="inlineStr"/>
      <c r="S247" s="10" t="inlineStr"/>
      <c r="T247" s="10" t="inlineStr"/>
      <c r="U247" s="10" t="n"/>
      <c r="V247" s="10">
        <f>IF(U247="","",IF(U247&gt;=70,"Pass","Hold"))</f>
        <v/>
      </c>
      <c r="W247" s="11" t="n">
        <v>46324</v>
      </c>
      <c r="X247" s="10" t="inlineStr">
        <is>
          <t>10:00 AM</t>
        </is>
      </c>
      <c r="Y247" s="10" t="inlineStr">
        <is>
          <t>Scheduled</t>
        </is>
      </c>
      <c r="Z247" s="11" t="n"/>
      <c r="AA247" s="10" t="inlineStr"/>
      <c r="AB247" s="10" t="inlineStr"/>
      <c r="AC247" s="10" t="n"/>
      <c r="AD247" s="10" t="n"/>
      <c r="AE247" s="10" t="n"/>
      <c r="AF247" s="10" t="n"/>
      <c r="AG247" s="10" t="n"/>
      <c r="AH247" s="10" t="n"/>
      <c r="AI247" s="10" t="n"/>
      <c r="AJ247" s="10" t="n"/>
      <c r="AK247" s="10" t="n"/>
      <c r="AL247" s="10" t="n"/>
      <c r="AM247" s="10" t="inlineStr">
        <is>
          <t>No</t>
        </is>
      </c>
      <c r="AN247" s="10" t="n"/>
      <c r="AO247" s="10" t="n"/>
      <c r="AP247" s="10">
        <f>IF(AND(AC247&lt;&gt;"",AO247&lt;&gt;"",AO247&gt;0),AC247/AO247,"")</f>
        <v/>
      </c>
      <c r="AQ247" s="10">
        <f>IF(AP247="","",IF(AP247&gt;=2,"A",IF(AP247&gt;=1.2,"B",IF(AP247&gt;=0.6,"C","D"))))</f>
        <v/>
      </c>
      <c r="AR247" s="10" t="inlineStr"/>
      <c r="AS247" s="11" t="inlineStr"/>
      <c r="AT247" s="10" t="inlineStr"/>
    </row>
    <row r="248">
      <c r="A248" s="10" t="inlineStr">
        <is>
          <t>W13-U4-IN</t>
        </is>
      </c>
      <c r="B248" s="10" t="inlineStr">
        <is>
          <t>W13-U4</t>
        </is>
      </c>
      <c r="C248" s="10" t="n">
        <v>13</v>
      </c>
      <c r="D248" s="11" t="n">
        <v>46324</v>
      </c>
      <c r="E248" s="10" t="inlineStr">
        <is>
          <t>Thursday</t>
        </is>
      </c>
      <c r="F248" s="10" t="inlineStr">
        <is>
          <t>All</t>
        </is>
      </c>
      <c r="G248" s="10" t="inlineStr">
        <is>
          <t>A quote built around your store, not a shelf price.</t>
        </is>
      </c>
      <c r="H248" s="10" t="inlineStr">
        <is>
          <t>Promote</t>
        </is>
      </c>
      <c r="I248" s="10" t="inlineStr">
        <is>
          <t>Static</t>
        </is>
      </c>
      <c r="J248" s="10" t="inlineStr">
        <is>
          <t>Instagram</t>
        </is>
      </c>
      <c r="K248" s="10" t="inlineStr">
        <is>
          <t>Primary</t>
        </is>
      </c>
      <c r="L248" s="10" t="inlineStr">
        <is>
          <t>Open demo: the details</t>
        </is>
      </c>
      <c r="M248" s="10" t="inlineStr">
        <is>
          <t>Save your spot</t>
        </is>
      </c>
      <c r="N248" s="10" t="inlineStr">
        <is>
          <t>No</t>
        </is>
      </c>
      <c r="O248" s="10" t="inlineStr">
        <is>
          <t>No</t>
        </is>
      </c>
      <c r="P248" s="10" t="inlineStr">
        <is>
          <t>Not started</t>
        </is>
      </c>
      <c r="Q248" s="10" t="inlineStr">
        <is>
          <t>Not started</t>
        </is>
      </c>
      <c r="R248" s="10" t="inlineStr"/>
      <c r="S248" s="10" t="inlineStr"/>
      <c r="T248" s="10" t="inlineStr"/>
      <c r="U248" s="10" t="n"/>
      <c r="V248" s="10">
        <f>IF(U248="","",IF(U248&gt;=70,"Pass","Hold"))</f>
        <v/>
      </c>
      <c r="W248" s="11" t="n">
        <v>46324</v>
      </c>
      <c r="X248" s="10" t="inlineStr">
        <is>
          <t>10:00 AM</t>
        </is>
      </c>
      <c r="Y248" s="10" t="inlineStr">
        <is>
          <t>Scheduled</t>
        </is>
      </c>
      <c r="Z248" s="11" t="n"/>
      <c r="AA248" s="10" t="inlineStr"/>
      <c r="AB248" s="10" t="inlineStr"/>
      <c r="AC248" s="10" t="n"/>
      <c r="AD248" s="10" t="n"/>
      <c r="AE248" s="10" t="n"/>
      <c r="AF248" s="10" t="n"/>
      <c r="AG248" s="10" t="n"/>
      <c r="AH248" s="10" t="n"/>
      <c r="AI248" s="10" t="n"/>
      <c r="AJ248" s="10" t="n"/>
      <c r="AK248" s="10" t="n"/>
      <c r="AL248" s="10" t="n"/>
      <c r="AM248" s="10" t="inlineStr">
        <is>
          <t>No</t>
        </is>
      </c>
      <c r="AN248" s="10" t="n"/>
      <c r="AO248" s="10" t="n"/>
      <c r="AP248" s="10">
        <f>IF(AND(AC248&lt;&gt;"",AO248&lt;&gt;"",AO248&gt;0),AC248/AO248,"")</f>
        <v/>
      </c>
      <c r="AQ248" s="10">
        <f>IF(AP248="","",IF(AP248&gt;=2,"A",IF(AP248&gt;=1.2,"B",IF(AP248&gt;=0.6,"C","D"))))</f>
        <v/>
      </c>
      <c r="AR248" s="10" t="inlineStr"/>
      <c r="AS248" s="11" t="inlineStr"/>
      <c r="AT248" s="10" t="inlineStr"/>
    </row>
    <row r="249">
      <c r="A249" s="10" t="inlineStr">
        <is>
          <t>W13-U4-X</t>
        </is>
      </c>
      <c r="B249" s="10" t="inlineStr">
        <is>
          <t>W13-U4</t>
        </is>
      </c>
      <c r="C249" s="10" t="n">
        <v>13</v>
      </c>
      <c r="D249" s="11" t="n">
        <v>46324</v>
      </c>
      <c r="E249" s="10" t="inlineStr">
        <is>
          <t>Thursday</t>
        </is>
      </c>
      <c r="F249" s="10" t="inlineStr">
        <is>
          <t>All</t>
        </is>
      </c>
      <c r="G249" s="10" t="inlineStr">
        <is>
          <t>A quote built around your store, not a shelf price.</t>
        </is>
      </c>
      <c r="H249" s="10" t="inlineStr">
        <is>
          <t>Promote</t>
        </is>
      </c>
      <c r="I249" s="10" t="inlineStr">
        <is>
          <t>Static</t>
        </is>
      </c>
      <c r="J249" s="10" t="inlineStr">
        <is>
          <t>X</t>
        </is>
      </c>
      <c r="K249" s="10" t="inlineStr">
        <is>
          <t>Mirror</t>
        </is>
      </c>
      <c r="L249" s="10" t="inlineStr">
        <is>
          <t>Open demo: the details</t>
        </is>
      </c>
      <c r="M249" s="10" t="inlineStr">
        <is>
          <t>Save your spot</t>
        </is>
      </c>
      <c r="N249" s="10" t="inlineStr">
        <is>
          <t>No</t>
        </is>
      </c>
      <c r="O249" s="10" t="inlineStr">
        <is>
          <t>No</t>
        </is>
      </c>
      <c r="P249" s="10" t="inlineStr">
        <is>
          <t>Not started</t>
        </is>
      </c>
      <c r="Q249" s="10" t="inlineStr">
        <is>
          <t>Not started</t>
        </is>
      </c>
      <c r="R249" s="10" t="inlineStr"/>
      <c r="S249" s="10" t="inlineStr"/>
      <c r="T249" s="10" t="inlineStr"/>
      <c r="U249" s="10" t="n"/>
      <c r="V249" s="10">
        <f>IF(U249="","",IF(U249&gt;=70,"Pass","Hold"))</f>
        <v/>
      </c>
      <c r="W249" s="11" t="n">
        <v>46324</v>
      </c>
      <c r="X249" s="10" t="inlineStr">
        <is>
          <t>10:00 AM</t>
        </is>
      </c>
      <c r="Y249" s="10" t="inlineStr">
        <is>
          <t>Scheduled</t>
        </is>
      </c>
      <c r="Z249" s="11" t="n"/>
      <c r="AA249" s="10" t="inlineStr"/>
      <c r="AB249" s="10" t="inlineStr"/>
      <c r="AC249" s="10" t="n"/>
      <c r="AD249" s="10" t="n"/>
      <c r="AE249" s="10" t="n"/>
      <c r="AF249" s="10" t="n"/>
      <c r="AG249" s="10" t="n"/>
      <c r="AH249" s="10" t="n"/>
      <c r="AI249" s="10" t="n"/>
      <c r="AJ249" s="10" t="n"/>
      <c r="AK249" s="10" t="n"/>
      <c r="AL249" s="10" t="n"/>
      <c r="AM249" s="10" t="inlineStr">
        <is>
          <t>No</t>
        </is>
      </c>
      <c r="AN249" s="10" t="n"/>
      <c r="AO249" s="10" t="n"/>
      <c r="AP249" s="10">
        <f>IF(AND(AC249&lt;&gt;"",AO249&lt;&gt;"",AO249&gt;0),AC249/AO249,"")</f>
        <v/>
      </c>
      <c r="AQ249" s="10">
        <f>IF(AP249="","",IF(AP249&gt;=2,"A",IF(AP249&gt;=1.2,"B",IF(AP249&gt;=0.6,"C","D"))))</f>
        <v/>
      </c>
      <c r="AR249" s="10" t="inlineStr"/>
      <c r="AS249" s="11" t="inlineStr"/>
      <c r="AT249" s="10" t="inlineStr"/>
    </row>
    <row r="250">
      <c r="A250" s="10" t="inlineStr">
        <is>
          <t>W13-U5-IN</t>
        </is>
      </c>
      <c r="B250" s="10" t="inlineStr">
        <is>
          <t>W13-U5</t>
        </is>
      </c>
      <c r="C250" s="10" t="n">
        <v>13</v>
      </c>
      <c r="D250" s="11" t="n">
        <v>46325</v>
      </c>
      <c r="E250" s="10" t="inlineStr">
        <is>
          <t>Friday</t>
        </is>
      </c>
      <c r="F250" s="10" t="inlineStr">
        <is>
          <t>All</t>
        </is>
      </c>
      <c r="G250" s="10" t="inlineStr">
        <is>
          <t>A quote built around your store, not a shelf price.</t>
        </is>
      </c>
      <c r="H250" s="10" t="inlineStr">
        <is>
          <t>Engage</t>
        </is>
      </c>
      <c r="I250" s="10" t="inlineStr">
        <is>
          <t>Text</t>
        </is>
      </c>
      <c r="J250" s="10" t="inlineStr">
        <is>
          <t>Instagram</t>
        </is>
      </c>
      <c r="K250" s="10" t="inlineStr">
        <is>
          <t>Primary</t>
        </is>
      </c>
      <c r="L250" s="10" t="inlineStr">
        <is>
          <t>What do you want to see on the open demo?</t>
        </is>
      </c>
      <c r="M250" s="10" t="inlineStr">
        <is>
          <t>Engage (vote)</t>
        </is>
      </c>
      <c r="N250" s="10" t="inlineStr">
        <is>
          <t>No</t>
        </is>
      </c>
      <c r="O250" s="10" t="inlineStr">
        <is>
          <t>No</t>
        </is>
      </c>
      <c r="P250" s="10" t="inlineStr">
        <is>
          <t>Not started</t>
        </is>
      </c>
      <c r="Q250" s="10" t="inlineStr">
        <is>
          <t>Not started</t>
        </is>
      </c>
      <c r="R250" s="10" t="inlineStr"/>
      <c r="S250" s="10" t="inlineStr"/>
      <c r="T250" s="10" t="inlineStr"/>
      <c r="U250" s="10" t="n"/>
      <c r="V250" s="10">
        <f>IF(U250="","",IF(U250&gt;=70,"Pass","Hold"))</f>
        <v/>
      </c>
      <c r="W250" s="11" t="n">
        <v>46325</v>
      </c>
      <c r="X250" s="10" t="inlineStr">
        <is>
          <t>10:00 AM</t>
        </is>
      </c>
      <c r="Y250" s="10" t="inlineStr">
        <is>
          <t>Scheduled</t>
        </is>
      </c>
      <c r="Z250" s="11" t="n"/>
      <c r="AA250" s="10" t="inlineStr"/>
      <c r="AB250" s="10" t="inlineStr"/>
      <c r="AC250" s="10" t="n"/>
      <c r="AD250" s="10" t="n"/>
      <c r="AE250" s="10" t="n"/>
      <c r="AF250" s="10" t="n"/>
      <c r="AG250" s="10" t="n"/>
      <c r="AH250" s="10" t="n"/>
      <c r="AI250" s="10" t="n"/>
      <c r="AJ250" s="10" t="n"/>
      <c r="AK250" s="10" t="n"/>
      <c r="AL250" s="10" t="n"/>
      <c r="AM250" s="10" t="inlineStr">
        <is>
          <t>No</t>
        </is>
      </c>
      <c r="AN250" s="10" t="n"/>
      <c r="AO250" s="10" t="n"/>
      <c r="AP250" s="10">
        <f>IF(AND(AC250&lt;&gt;"",AO250&lt;&gt;"",AO250&gt;0),AC250/AO250,"")</f>
        <v/>
      </c>
      <c r="AQ250" s="10">
        <f>IF(AP250="","",IF(AP250&gt;=2,"A",IF(AP250&gt;=1.2,"B",IF(AP250&gt;=0.6,"C","D"))))</f>
        <v/>
      </c>
      <c r="AR250" s="10" t="inlineStr"/>
      <c r="AS250" s="11" t="inlineStr"/>
      <c r="AT250" s="10" t="inlineStr"/>
    </row>
    <row r="251">
      <c r="A251" s="10" t="inlineStr">
        <is>
          <t>W13-U5-LI</t>
        </is>
      </c>
      <c r="B251" s="10" t="inlineStr">
        <is>
          <t>W13-U5</t>
        </is>
      </c>
      <c r="C251" s="10" t="n">
        <v>13</v>
      </c>
      <c r="D251" s="11" t="n">
        <v>46325</v>
      </c>
      <c r="E251" s="10" t="inlineStr">
        <is>
          <t>Friday</t>
        </is>
      </c>
      <c r="F251" s="10" t="inlineStr">
        <is>
          <t>All</t>
        </is>
      </c>
      <c r="G251" s="10" t="inlineStr">
        <is>
          <t>A quote built around your store, not a shelf price.</t>
        </is>
      </c>
      <c r="H251" s="10" t="inlineStr">
        <is>
          <t>Engage</t>
        </is>
      </c>
      <c r="I251" s="10" t="inlineStr">
        <is>
          <t>Text</t>
        </is>
      </c>
      <c r="J251" s="10" t="inlineStr">
        <is>
          <t>LinkedIn</t>
        </is>
      </c>
      <c r="K251" s="10" t="inlineStr">
        <is>
          <t>Adapted</t>
        </is>
      </c>
      <c r="L251" s="10" t="inlineStr">
        <is>
          <t>What do you want to see on the open demo?</t>
        </is>
      </c>
      <c r="M251" s="10" t="inlineStr">
        <is>
          <t>Engage (vote)</t>
        </is>
      </c>
      <c r="N251" s="10" t="inlineStr">
        <is>
          <t>No</t>
        </is>
      </c>
      <c r="O251" s="10" t="inlineStr">
        <is>
          <t>No</t>
        </is>
      </c>
      <c r="P251" s="10" t="inlineStr">
        <is>
          <t>Not started</t>
        </is>
      </c>
      <c r="Q251" s="10" t="inlineStr">
        <is>
          <t>Not started</t>
        </is>
      </c>
      <c r="R251" s="10" t="inlineStr"/>
      <c r="S251" s="10" t="inlineStr"/>
      <c r="T251" s="10" t="inlineStr"/>
      <c r="U251" s="10" t="n"/>
      <c r="V251" s="10">
        <f>IF(U251="","",IF(U251&gt;=70,"Pass","Hold"))</f>
        <v/>
      </c>
      <c r="W251" s="11" t="n">
        <v>46325</v>
      </c>
      <c r="X251" s="10" t="inlineStr">
        <is>
          <t>10:00 AM</t>
        </is>
      </c>
      <c r="Y251" s="10" t="inlineStr">
        <is>
          <t>Scheduled</t>
        </is>
      </c>
      <c r="Z251" s="11" t="n"/>
      <c r="AA251" s="10" t="inlineStr"/>
      <c r="AB251" s="10" t="inlineStr"/>
      <c r="AC251" s="10" t="n"/>
      <c r="AD251" s="10" t="n"/>
      <c r="AE251" s="10" t="n"/>
      <c r="AF251" s="10" t="n"/>
      <c r="AG251" s="10" t="n"/>
      <c r="AH251" s="10" t="n"/>
      <c r="AI251" s="10" t="n"/>
      <c r="AJ251" s="10" t="n"/>
      <c r="AK251" s="10" t="n"/>
      <c r="AL251" s="10" t="n"/>
      <c r="AM251" s="10" t="inlineStr">
        <is>
          <t>No</t>
        </is>
      </c>
      <c r="AN251" s="10" t="n"/>
      <c r="AO251" s="10" t="n"/>
      <c r="AP251" s="10">
        <f>IF(AND(AC251&lt;&gt;"",AO251&lt;&gt;"",AO251&gt;0),AC251/AO251,"")</f>
        <v/>
      </c>
      <c r="AQ251" s="10">
        <f>IF(AP251="","",IF(AP251&gt;=2,"A",IF(AP251&gt;=1.2,"B",IF(AP251&gt;=0.6,"C","D"))))</f>
        <v/>
      </c>
      <c r="AR251" s="10" t="inlineStr"/>
      <c r="AS251" s="11" t="inlineStr"/>
      <c r="AT251" s="10" t="inlineStr"/>
    </row>
    <row r="252">
      <c r="A252" s="10" t="inlineStr">
        <is>
          <t>W13-U6-IN</t>
        </is>
      </c>
      <c r="B252" s="10" t="inlineStr">
        <is>
          <t>W13-U6</t>
        </is>
      </c>
      <c r="C252" s="10" t="n">
        <v>13</v>
      </c>
      <c r="D252" s="11" t="n">
        <v>46326</v>
      </c>
      <c r="E252" s="10" t="inlineStr">
        <is>
          <t>Saturday</t>
        </is>
      </c>
      <c r="F252" s="10" t="inlineStr">
        <is>
          <t>All</t>
        </is>
      </c>
      <c r="G252" s="10" t="inlineStr">
        <is>
          <t>(none — discovery/recap unit)</t>
        </is>
      </c>
      <c r="H252" s="10" t="inlineStr">
        <is>
          <t>Inspire</t>
        </is>
      </c>
      <c r="I252" s="10" t="inlineStr">
        <is>
          <t>Static</t>
        </is>
      </c>
      <c r="J252" s="10" t="inlineStr">
        <is>
          <t>Instagram</t>
        </is>
      </c>
      <c r="K252" s="10" t="inlineStr">
        <is>
          <t>Primary</t>
        </is>
      </c>
      <c r="L252" s="10" t="inlineStr">
        <is>
          <t>Thank you, and see you in Q4</t>
        </is>
      </c>
      <c r="M252" s="10" t="inlineStr">
        <is>
          <t>Book a demo</t>
        </is>
      </c>
      <c r="N252" s="10" t="inlineStr">
        <is>
          <t>No</t>
        </is>
      </c>
      <c r="O252" s="10" t="inlineStr">
        <is>
          <t>No</t>
        </is>
      </c>
      <c r="P252" s="10" t="inlineStr">
        <is>
          <t>Not started</t>
        </is>
      </c>
      <c r="Q252" s="10" t="inlineStr">
        <is>
          <t>Not started</t>
        </is>
      </c>
      <c r="R252" s="10" t="inlineStr"/>
      <c r="S252" s="10" t="inlineStr"/>
      <c r="T252" s="10" t="inlineStr"/>
      <c r="U252" s="10" t="n"/>
      <c r="V252" s="10">
        <f>IF(U252="","",IF(U252&gt;=70,"Pass","Hold"))</f>
        <v/>
      </c>
      <c r="W252" s="11" t="n">
        <v>46326</v>
      </c>
      <c r="X252" s="10" t="inlineStr">
        <is>
          <t>10:00 AM</t>
        </is>
      </c>
      <c r="Y252" s="10" t="inlineStr">
        <is>
          <t>Scheduled</t>
        </is>
      </c>
      <c r="Z252" s="11" t="n"/>
      <c r="AA252" s="10" t="inlineStr"/>
      <c r="AB252" s="10" t="inlineStr"/>
      <c r="AC252" s="10" t="n"/>
      <c r="AD252" s="10" t="n"/>
      <c r="AE252" s="10" t="n"/>
      <c r="AF252" s="10" t="n"/>
      <c r="AG252" s="10" t="n"/>
      <c r="AH252" s="10" t="n"/>
      <c r="AI252" s="10" t="n"/>
      <c r="AJ252" s="10" t="n"/>
      <c r="AK252" s="10" t="n"/>
      <c r="AL252" s="10" t="n"/>
      <c r="AM252" s="10" t="inlineStr">
        <is>
          <t>No</t>
        </is>
      </c>
      <c r="AN252" s="10" t="n"/>
      <c r="AO252" s="10" t="n"/>
      <c r="AP252" s="10">
        <f>IF(AND(AC252&lt;&gt;"",AO252&lt;&gt;"",AO252&gt;0),AC252/AO252,"")</f>
        <v/>
      </c>
      <c r="AQ252" s="10">
        <f>IF(AP252="","",IF(AP252&gt;=2,"A",IF(AP252&gt;=1.2,"B",IF(AP252&gt;=0.6,"C","D"))))</f>
        <v/>
      </c>
      <c r="AR252" s="10" t="inlineStr"/>
      <c r="AS252" s="11" t="inlineStr"/>
      <c r="AT252" s="10" t="inlineStr"/>
    </row>
    <row r="253">
      <c r="A253" s="10" t="inlineStr">
        <is>
          <t>W13-U6-FA</t>
        </is>
      </c>
      <c r="B253" s="10" t="inlineStr">
        <is>
          <t>W13-U6</t>
        </is>
      </c>
      <c r="C253" s="10" t="n">
        <v>13</v>
      </c>
      <c r="D253" s="11" t="n">
        <v>46326</v>
      </c>
      <c r="E253" s="10" t="inlineStr">
        <is>
          <t>Saturday</t>
        </is>
      </c>
      <c r="F253" s="10" t="inlineStr">
        <is>
          <t>All</t>
        </is>
      </c>
      <c r="G253" s="10" t="inlineStr">
        <is>
          <t>(none — discovery/recap unit)</t>
        </is>
      </c>
      <c r="H253" s="10" t="inlineStr">
        <is>
          <t>Inspire</t>
        </is>
      </c>
      <c r="I253" s="10" t="inlineStr">
        <is>
          <t>Static</t>
        </is>
      </c>
      <c r="J253" s="10" t="inlineStr">
        <is>
          <t>Facebook</t>
        </is>
      </c>
      <c r="K253" s="10" t="inlineStr">
        <is>
          <t>Mirror</t>
        </is>
      </c>
      <c r="L253" s="10" t="inlineStr">
        <is>
          <t>Thank you, and see you in Q4</t>
        </is>
      </c>
      <c r="M253" s="10" t="inlineStr">
        <is>
          <t>Book a demo</t>
        </is>
      </c>
      <c r="N253" s="10" t="inlineStr">
        <is>
          <t>No</t>
        </is>
      </c>
      <c r="O253" s="10" t="inlineStr">
        <is>
          <t>No</t>
        </is>
      </c>
      <c r="P253" s="10" t="inlineStr">
        <is>
          <t>Not started</t>
        </is>
      </c>
      <c r="Q253" s="10" t="inlineStr">
        <is>
          <t>Not started</t>
        </is>
      </c>
      <c r="R253" s="10" t="inlineStr"/>
      <c r="S253" s="10" t="inlineStr"/>
      <c r="T253" s="10" t="inlineStr"/>
      <c r="U253" s="10" t="n"/>
      <c r="V253" s="10">
        <f>IF(U253="","",IF(U253&gt;=70,"Pass","Hold"))</f>
        <v/>
      </c>
      <c r="W253" s="11" t="n">
        <v>46326</v>
      </c>
      <c r="X253" s="10" t="inlineStr">
        <is>
          <t>10:00 AM</t>
        </is>
      </c>
      <c r="Y253" s="10" t="inlineStr">
        <is>
          <t>Scheduled</t>
        </is>
      </c>
      <c r="Z253" s="11" t="n"/>
      <c r="AA253" s="10" t="inlineStr"/>
      <c r="AB253" s="10" t="inlineStr"/>
      <c r="AC253" s="10" t="n"/>
      <c r="AD253" s="10" t="n"/>
      <c r="AE253" s="10" t="n"/>
      <c r="AF253" s="10" t="n"/>
      <c r="AG253" s="10" t="n"/>
      <c r="AH253" s="10" t="n"/>
      <c r="AI253" s="10" t="n"/>
      <c r="AJ253" s="10" t="n"/>
      <c r="AK253" s="10" t="n"/>
      <c r="AL253" s="10" t="n"/>
      <c r="AM253" s="10" t="inlineStr">
        <is>
          <t>No</t>
        </is>
      </c>
      <c r="AN253" s="10" t="n"/>
      <c r="AO253" s="10" t="n"/>
      <c r="AP253" s="10">
        <f>IF(AND(AC253&lt;&gt;"",AO253&lt;&gt;"",AO253&gt;0),AC253/AO253,"")</f>
        <v/>
      </c>
      <c r="AQ253" s="10">
        <f>IF(AP253="","",IF(AP253&gt;=2,"A",IF(AP253&gt;=1.2,"B",IF(AP253&gt;=0.6,"C","D"))))</f>
        <v/>
      </c>
      <c r="AR253" s="10" t="inlineStr"/>
      <c r="AS253" s="11" t="inlineStr"/>
      <c r="AT253" s="10" t="inlineStr"/>
    </row>
    <row r="254">
      <c r="A254" s="10" t="inlineStr">
        <is>
          <t>W13-U6-X</t>
        </is>
      </c>
      <c r="B254" s="10" t="inlineStr">
        <is>
          <t>W13-U6</t>
        </is>
      </c>
      <c r="C254" s="10" t="n">
        <v>13</v>
      </c>
      <c r="D254" s="11" t="n">
        <v>46326</v>
      </c>
      <c r="E254" s="10" t="inlineStr">
        <is>
          <t>Saturday</t>
        </is>
      </c>
      <c r="F254" s="10" t="inlineStr">
        <is>
          <t>All</t>
        </is>
      </c>
      <c r="G254" s="10" t="inlineStr">
        <is>
          <t>(none — discovery/recap unit)</t>
        </is>
      </c>
      <c r="H254" s="10" t="inlineStr">
        <is>
          <t>Inspire</t>
        </is>
      </c>
      <c r="I254" s="10" t="inlineStr">
        <is>
          <t>Static</t>
        </is>
      </c>
      <c r="J254" s="10" t="inlineStr">
        <is>
          <t>X</t>
        </is>
      </c>
      <c r="K254" s="10" t="inlineStr">
        <is>
          <t>Mirror</t>
        </is>
      </c>
      <c r="L254" s="10" t="inlineStr">
        <is>
          <t>Thank you, and see you in Q4</t>
        </is>
      </c>
      <c r="M254" s="10" t="inlineStr">
        <is>
          <t>Book a demo</t>
        </is>
      </c>
      <c r="N254" s="10" t="inlineStr">
        <is>
          <t>No</t>
        </is>
      </c>
      <c r="O254" s="10" t="inlineStr">
        <is>
          <t>No</t>
        </is>
      </c>
      <c r="P254" s="10" t="inlineStr">
        <is>
          <t>Not started</t>
        </is>
      </c>
      <c r="Q254" s="10" t="inlineStr">
        <is>
          <t>Not started</t>
        </is>
      </c>
      <c r="R254" s="10" t="inlineStr"/>
      <c r="S254" s="10" t="inlineStr"/>
      <c r="T254" s="10" t="inlineStr"/>
      <c r="U254" s="10" t="n"/>
      <c r="V254" s="10">
        <f>IF(U254="","",IF(U254&gt;=70,"Pass","Hold"))</f>
        <v/>
      </c>
      <c r="W254" s="11" t="n">
        <v>46326</v>
      </c>
      <c r="X254" s="10" t="inlineStr">
        <is>
          <t>10:00 AM</t>
        </is>
      </c>
      <c r="Y254" s="10" t="inlineStr">
        <is>
          <t>Scheduled</t>
        </is>
      </c>
      <c r="Z254" s="11" t="n"/>
      <c r="AA254" s="10" t="inlineStr"/>
      <c r="AB254" s="10" t="inlineStr"/>
      <c r="AC254" s="10" t="n"/>
      <c r="AD254" s="10" t="n"/>
      <c r="AE254" s="10" t="n"/>
      <c r="AF254" s="10" t="n"/>
      <c r="AG254" s="10" t="n"/>
      <c r="AH254" s="10" t="n"/>
      <c r="AI254" s="10" t="n"/>
      <c r="AJ254" s="10" t="n"/>
      <c r="AK254" s="10" t="n"/>
      <c r="AL254" s="10" t="n"/>
      <c r="AM254" s="10" t="inlineStr">
        <is>
          <t>No</t>
        </is>
      </c>
      <c r="AN254" s="10" t="n"/>
      <c r="AO254" s="10" t="n"/>
      <c r="AP254" s="10">
        <f>IF(AND(AC254&lt;&gt;"",AO254&lt;&gt;"",AO254&gt;0),AC254/AO254,"")</f>
        <v/>
      </c>
      <c r="AQ254" s="10">
        <f>IF(AP254="","",IF(AP254&gt;=2,"A",IF(AP254&gt;=1.2,"B",IF(AP254&gt;=0.6,"C","D"))))</f>
        <v/>
      </c>
      <c r="AR254" s="10" t="inlineStr"/>
      <c r="AS254" s="11" t="inlineStr"/>
      <c r="AT254" s="10" t="inlineStr"/>
    </row>
    <row r="255">
      <c r="A255" s="10" t="inlineStr">
        <is>
          <t>W13-U7-FA</t>
        </is>
      </c>
      <c r="B255" s="10" t="inlineStr">
        <is>
          <t>W13-U7</t>
        </is>
      </c>
      <c r="C255" s="10" t="n">
        <v>13</v>
      </c>
      <c r="D255" s="11" t="n">
        <v>46327</v>
      </c>
      <c r="E255" s="10" t="inlineStr">
        <is>
          <t>Sunday</t>
        </is>
      </c>
      <c r="F255" s="10" t="inlineStr">
        <is>
          <t>All</t>
        </is>
      </c>
      <c r="G255" s="10" t="inlineStr">
        <is>
          <t>A quote built around your store, not a shelf price.</t>
        </is>
      </c>
      <c r="H255" s="10" t="inlineStr">
        <is>
          <t>Promote</t>
        </is>
      </c>
      <c r="I255" s="10" t="inlineStr">
        <is>
          <t>Static</t>
        </is>
      </c>
      <c r="J255" s="10" t="inlineStr">
        <is>
          <t>Facebook</t>
        </is>
      </c>
      <c r="K255" s="10" t="inlineStr">
        <is>
          <t>Primary</t>
        </is>
      </c>
      <c r="L255" s="10" t="inlineStr">
        <is>
          <t>Demo day reminder (bonus)</t>
        </is>
      </c>
      <c r="M255" s="10" t="inlineStr">
        <is>
          <t>Join now</t>
        </is>
      </c>
      <c r="N255" s="10" t="inlineStr">
        <is>
          <t>No</t>
        </is>
      </c>
      <c r="O255" s="10" t="inlineStr">
        <is>
          <t>No</t>
        </is>
      </c>
      <c r="P255" s="10" t="inlineStr">
        <is>
          <t>Not started</t>
        </is>
      </c>
      <c r="Q255" s="10" t="inlineStr">
        <is>
          <t>Not started</t>
        </is>
      </c>
      <c r="R255" s="10" t="inlineStr"/>
      <c r="S255" s="10" t="inlineStr"/>
      <c r="T255" s="10" t="inlineStr"/>
      <c r="U255" s="10" t="n"/>
      <c r="V255" s="10">
        <f>IF(U255="","",IF(U255&gt;=70,"Pass","Hold"))</f>
        <v/>
      </c>
      <c r="W255" s="11" t="n">
        <v>46327</v>
      </c>
      <c r="X255" s="10" t="inlineStr">
        <is>
          <t>10:00 AM</t>
        </is>
      </c>
      <c r="Y255" s="10" t="inlineStr">
        <is>
          <t>Scheduled</t>
        </is>
      </c>
      <c r="Z255" s="11" t="n"/>
      <c r="AA255" s="10" t="inlineStr"/>
      <c r="AB255" s="10" t="inlineStr"/>
      <c r="AC255" s="10" t="n"/>
      <c r="AD255" s="10" t="n"/>
      <c r="AE255" s="10" t="n"/>
      <c r="AF255" s="10" t="n"/>
      <c r="AG255" s="10" t="n"/>
      <c r="AH255" s="10" t="n"/>
      <c r="AI255" s="10" t="n"/>
      <c r="AJ255" s="10" t="n"/>
      <c r="AK255" s="10" t="n"/>
      <c r="AL255" s="10" t="n"/>
      <c r="AM255" s="10" t="inlineStr">
        <is>
          <t>No</t>
        </is>
      </c>
      <c r="AN255" s="10" t="n"/>
      <c r="AO255" s="10" t="n"/>
      <c r="AP255" s="10">
        <f>IF(AND(AC255&lt;&gt;"",AO255&lt;&gt;"",AO255&gt;0),AC255/AO255,"")</f>
        <v/>
      </c>
      <c r="AQ255" s="10">
        <f>IF(AP255="","",IF(AP255&gt;=2,"A",IF(AP255&gt;=1.2,"B",IF(AP255&gt;=0.6,"C","D"))))</f>
        <v/>
      </c>
      <c r="AR255" s="10" t="inlineStr"/>
      <c r="AS255" s="11" t="inlineStr"/>
      <c r="AT255" s="10" t="inlineStr"/>
    </row>
    <row r="256">
      <c r="A256" s="10" t="inlineStr">
        <is>
          <t>W13-U7-IN</t>
        </is>
      </c>
      <c r="B256" s="10" t="inlineStr">
        <is>
          <t>W13-U7</t>
        </is>
      </c>
      <c r="C256" s="10" t="n">
        <v>13</v>
      </c>
      <c r="D256" s="11" t="n">
        <v>46327</v>
      </c>
      <c r="E256" s="10" t="inlineStr">
        <is>
          <t>Sunday</t>
        </is>
      </c>
      <c r="F256" s="10" t="inlineStr">
        <is>
          <t>All</t>
        </is>
      </c>
      <c r="G256" s="10" t="inlineStr">
        <is>
          <t>A quote built around your store, not a shelf price.</t>
        </is>
      </c>
      <c r="H256" s="10" t="inlineStr">
        <is>
          <t>Promote</t>
        </is>
      </c>
      <c r="I256" s="10" t="inlineStr">
        <is>
          <t>Static</t>
        </is>
      </c>
      <c r="J256" s="10" t="inlineStr">
        <is>
          <t>Instagram</t>
        </is>
      </c>
      <c r="K256" s="10" t="inlineStr">
        <is>
          <t>Primary</t>
        </is>
      </c>
      <c r="L256" s="10" t="inlineStr">
        <is>
          <t>Demo day reminder (bonus)</t>
        </is>
      </c>
      <c r="M256" s="10" t="inlineStr">
        <is>
          <t>Join now</t>
        </is>
      </c>
      <c r="N256" s="10" t="inlineStr">
        <is>
          <t>No</t>
        </is>
      </c>
      <c r="O256" s="10" t="inlineStr">
        <is>
          <t>No</t>
        </is>
      </c>
      <c r="P256" s="10" t="inlineStr">
        <is>
          <t>Not started</t>
        </is>
      </c>
      <c r="Q256" s="10" t="inlineStr">
        <is>
          <t>Not started</t>
        </is>
      </c>
      <c r="R256" s="10" t="inlineStr"/>
      <c r="S256" s="10" t="inlineStr"/>
      <c r="T256" s="10" t="inlineStr"/>
      <c r="U256" s="10" t="n"/>
      <c r="V256" s="10">
        <f>IF(U256="","",IF(U256&gt;=70,"Pass","Hold"))</f>
        <v/>
      </c>
      <c r="W256" s="11" t="n">
        <v>46327</v>
      </c>
      <c r="X256" s="10" t="inlineStr">
        <is>
          <t>10:00 AM</t>
        </is>
      </c>
      <c r="Y256" s="10" t="inlineStr">
        <is>
          <t>Scheduled</t>
        </is>
      </c>
      <c r="Z256" s="11" t="n"/>
      <c r="AA256" s="10" t="inlineStr"/>
      <c r="AB256" s="10" t="inlineStr"/>
      <c r="AC256" s="10" t="n"/>
      <c r="AD256" s="10" t="n"/>
      <c r="AE256" s="10" t="n"/>
      <c r="AF256" s="10" t="n"/>
      <c r="AG256" s="10" t="n"/>
      <c r="AH256" s="10" t="n"/>
      <c r="AI256" s="10" t="n"/>
      <c r="AJ256" s="10" t="n"/>
      <c r="AK256" s="10" t="n"/>
      <c r="AL256" s="10" t="n"/>
      <c r="AM256" s="10" t="inlineStr">
        <is>
          <t>No</t>
        </is>
      </c>
      <c r="AN256" s="10" t="n"/>
      <c r="AO256" s="10" t="n"/>
      <c r="AP256" s="10">
        <f>IF(AND(AC256&lt;&gt;"",AO256&lt;&gt;"",AO256&gt;0),AC256/AO256,"")</f>
        <v/>
      </c>
      <c r="AQ256" s="10">
        <f>IF(AP256="","",IF(AP256&gt;=2,"A",IF(AP256&gt;=1.2,"B",IF(AP256&gt;=0.6,"C","D"))))</f>
        <v/>
      </c>
      <c r="AR256" s="10" t="inlineStr"/>
      <c r="AS256" s="11" t="inlineStr"/>
      <c r="AT256" s="10" t="inlineStr"/>
    </row>
    <row r="257">
      <c r="A257" s="10" t="inlineStr">
        <is>
          <t>W13-U7-LI</t>
        </is>
      </c>
      <c r="B257" s="10" t="inlineStr">
        <is>
          <t>W13-U7</t>
        </is>
      </c>
      <c r="C257" s="10" t="n">
        <v>13</v>
      </c>
      <c r="D257" s="11" t="n">
        <v>46327</v>
      </c>
      <c r="E257" s="10" t="inlineStr">
        <is>
          <t>Sunday</t>
        </is>
      </c>
      <c r="F257" s="10" t="inlineStr">
        <is>
          <t>All</t>
        </is>
      </c>
      <c r="G257" s="10" t="inlineStr">
        <is>
          <t>A quote built around your store, not a shelf price.</t>
        </is>
      </c>
      <c r="H257" s="10" t="inlineStr">
        <is>
          <t>Promote</t>
        </is>
      </c>
      <c r="I257" s="10" t="inlineStr">
        <is>
          <t>Static</t>
        </is>
      </c>
      <c r="J257" s="10" t="inlineStr">
        <is>
          <t>LinkedIn</t>
        </is>
      </c>
      <c r="K257" s="10" t="inlineStr">
        <is>
          <t>Primary</t>
        </is>
      </c>
      <c r="L257" s="10" t="inlineStr">
        <is>
          <t>Demo day reminder (bonus)</t>
        </is>
      </c>
      <c r="M257" s="10" t="inlineStr">
        <is>
          <t>Join now</t>
        </is>
      </c>
      <c r="N257" s="10" t="inlineStr">
        <is>
          <t>No</t>
        </is>
      </c>
      <c r="O257" s="10" t="inlineStr">
        <is>
          <t>No</t>
        </is>
      </c>
      <c r="P257" s="10" t="inlineStr">
        <is>
          <t>Not started</t>
        </is>
      </c>
      <c r="Q257" s="10" t="inlineStr">
        <is>
          <t>Not started</t>
        </is>
      </c>
      <c r="R257" s="10" t="inlineStr"/>
      <c r="S257" s="10" t="inlineStr"/>
      <c r="T257" s="10" t="inlineStr"/>
      <c r="U257" s="10" t="n"/>
      <c r="V257" s="10">
        <f>IF(U257="","",IF(U257&gt;=70,"Pass","Hold"))</f>
        <v/>
      </c>
      <c r="W257" s="11" t="n">
        <v>46327</v>
      </c>
      <c r="X257" s="10" t="inlineStr">
        <is>
          <t>10:00 AM</t>
        </is>
      </c>
      <c r="Y257" s="10" t="inlineStr">
        <is>
          <t>Scheduled</t>
        </is>
      </c>
      <c r="Z257" s="11" t="n"/>
      <c r="AA257" s="10" t="inlineStr"/>
      <c r="AB257" s="10" t="inlineStr"/>
      <c r="AC257" s="10" t="n"/>
      <c r="AD257" s="10" t="n"/>
      <c r="AE257" s="10" t="n"/>
      <c r="AF257" s="10" t="n"/>
      <c r="AG257" s="10" t="n"/>
      <c r="AH257" s="10" t="n"/>
      <c r="AI257" s="10" t="n"/>
      <c r="AJ257" s="10" t="n"/>
      <c r="AK257" s="10" t="n"/>
      <c r="AL257" s="10" t="n"/>
      <c r="AM257" s="10" t="inlineStr">
        <is>
          <t>No</t>
        </is>
      </c>
      <c r="AN257" s="10" t="n"/>
      <c r="AO257" s="10" t="n"/>
      <c r="AP257" s="10">
        <f>IF(AND(AC257&lt;&gt;"",AO257&lt;&gt;"",AO257&gt;0),AC257/AO257,"")</f>
        <v/>
      </c>
      <c r="AQ257" s="10">
        <f>IF(AP257="","",IF(AP257&gt;=2,"A",IF(AP257&gt;=1.2,"B",IF(AP257&gt;=0.6,"C","D"))))</f>
        <v/>
      </c>
      <c r="AR257" s="10" t="inlineStr"/>
      <c r="AS257" s="11" t="inlineStr"/>
      <c r="AT257" s="10" t="inlineStr"/>
    </row>
    <row r="258">
      <c r="A258" s="10" t="inlineStr">
        <is>
          <t>W13-U7-X</t>
        </is>
      </c>
      <c r="B258" s="10" t="inlineStr">
        <is>
          <t>W13-U7</t>
        </is>
      </c>
      <c r="C258" s="10" t="n">
        <v>13</v>
      </c>
      <c r="D258" s="11" t="n">
        <v>46327</v>
      </c>
      <c r="E258" s="10" t="inlineStr">
        <is>
          <t>Sunday</t>
        </is>
      </c>
      <c r="F258" s="10" t="inlineStr">
        <is>
          <t>All</t>
        </is>
      </c>
      <c r="G258" s="10" t="inlineStr">
        <is>
          <t>A quote built around your store, not a shelf price.</t>
        </is>
      </c>
      <c r="H258" s="10" t="inlineStr">
        <is>
          <t>Promote</t>
        </is>
      </c>
      <c r="I258" s="10" t="inlineStr">
        <is>
          <t>Static</t>
        </is>
      </c>
      <c r="J258" s="10" t="inlineStr">
        <is>
          <t>X</t>
        </is>
      </c>
      <c r="K258" s="10" t="inlineStr">
        <is>
          <t>Primary</t>
        </is>
      </c>
      <c r="L258" s="10" t="inlineStr">
        <is>
          <t>Demo day reminder (bonus)</t>
        </is>
      </c>
      <c r="M258" s="10" t="inlineStr">
        <is>
          <t>Join now</t>
        </is>
      </c>
      <c r="N258" s="10" t="inlineStr">
        <is>
          <t>No</t>
        </is>
      </c>
      <c r="O258" s="10" t="inlineStr">
        <is>
          <t>No</t>
        </is>
      </c>
      <c r="P258" s="10" t="inlineStr">
        <is>
          <t>Not started</t>
        </is>
      </c>
      <c r="Q258" s="10" t="inlineStr">
        <is>
          <t>Not started</t>
        </is>
      </c>
      <c r="R258" s="10" t="inlineStr"/>
      <c r="S258" s="10" t="inlineStr"/>
      <c r="T258" s="10" t="inlineStr"/>
      <c r="U258" s="10" t="n"/>
      <c r="V258" s="10">
        <f>IF(U258="","",IF(U258&gt;=70,"Pass","Hold"))</f>
        <v/>
      </c>
      <c r="W258" s="11" t="n">
        <v>46327</v>
      </c>
      <c r="X258" s="10" t="inlineStr">
        <is>
          <t>10:00 AM</t>
        </is>
      </c>
      <c r="Y258" s="10" t="inlineStr">
        <is>
          <t>Scheduled</t>
        </is>
      </c>
      <c r="Z258" s="11" t="n"/>
      <c r="AA258" s="10" t="inlineStr"/>
      <c r="AB258" s="10" t="inlineStr"/>
      <c r="AC258" s="10" t="n"/>
      <c r="AD258" s="10" t="n"/>
      <c r="AE258" s="10" t="n"/>
      <c r="AF258" s="10" t="n"/>
      <c r="AG258" s="10" t="n"/>
      <c r="AH258" s="10" t="n"/>
      <c r="AI258" s="10" t="n"/>
      <c r="AJ258" s="10" t="n"/>
      <c r="AK258" s="10" t="n"/>
      <c r="AL258" s="10" t="n"/>
      <c r="AM258" s="10" t="inlineStr">
        <is>
          <t>No</t>
        </is>
      </c>
      <c r="AN258" s="10" t="n"/>
      <c r="AO258" s="10" t="n"/>
      <c r="AP258" s="10">
        <f>IF(AND(AC258&lt;&gt;"",AO258&lt;&gt;"",AO258&gt;0),AC258/AO258,"")</f>
        <v/>
      </c>
      <c r="AQ258" s="10">
        <f>IF(AP258="","",IF(AP258&gt;=2,"A",IF(AP258&gt;=1.2,"B",IF(AP258&gt;=0.6,"C","D"))))</f>
        <v/>
      </c>
      <c r="AR258" s="10" t="inlineStr"/>
      <c r="AS258" s="11" t="inlineStr"/>
      <c r="AT258" s="10" t="inlineStr"/>
    </row>
  </sheetData>
  <mergeCells count="6">
    <mergeCell ref="A1:J1"/>
    <mergeCell ref="P4:X4"/>
    <mergeCell ref="AC4:AT4"/>
    <mergeCell ref="Y4:AB4"/>
    <mergeCell ref="A2:J2"/>
    <mergeCell ref="A4:O4"/>
  </mergeCells>
  <dataValidations count="5">
    <dataValidation sqref="P6:P258" showDropDown="0" showInputMessage="0" showErrorMessage="0" allowBlank="1" type="list">
      <formula1>"Not started,Draft,In review,Approved"</formula1>
    </dataValidation>
    <dataValidation sqref="P6:P258" showDropDown="0" showInputMessage="0" showErrorMessage="0" allowBlank="1" type="list">
      <formula1>"Not started,Draft,In review,Approved"</formula1>
    </dataValidation>
    <dataValidation sqref="Q6:Q258" showDropDown="0" showInputMessage="0" showErrorMessage="0" allowBlank="1" type="list">
      <formula1>"Not started,Draft,In review,Approved"</formula1>
    </dataValidation>
    <dataValidation sqref="Y6:Y258" showDropDown="0" showInputMessage="0" showErrorMessage="0" allowBlank="1" type="list">
      <formula1>"Scheduled,Published,Delayed,Cancelled"</formula1>
    </dataValidation>
    <dataValidation sqref="AR6:AR25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40" customWidth="1" min="3" max="3"/>
    <col width="55" customWidth="1" min="4" max="4"/>
  </cols>
  <sheetData>
    <row r="1" ht="24" customHeight="1">
      <c r="A1" s="1" t="inlineStr">
        <is>
          <t>Platform Metric Guide</t>
        </is>
      </c>
    </row>
    <row r="2">
      <c r="A2" s="2" t="inlineStr">
        <is>
          <t>How engagement compares across platforms, so performance is judged fairly.</t>
        </is>
      </c>
    </row>
    <row r="4">
      <c r="A4" s="9" t="inlineStr">
        <is>
          <t>Platform</t>
        </is>
      </c>
      <c r="B4" s="9" t="inlineStr">
        <is>
          <t>Engagement Signal</t>
        </is>
      </c>
      <c r="C4" s="9" t="inlineStr">
        <is>
          <t>Approx. Weight vs. a Like/Reaction</t>
        </is>
      </c>
      <c r="D4" s="9" t="inlineStr">
        <is>
          <t>Read this as...</t>
        </is>
      </c>
    </row>
    <row r="5">
      <c r="A5" s="12" t="inlineStr">
        <is>
          <t>Instagram</t>
        </is>
      </c>
      <c r="B5" s="12" t="inlineStr">
        <is>
          <t>Like</t>
        </is>
      </c>
      <c r="C5" s="12" t="inlineStr">
        <is>
          <t>1x (baseline)</t>
        </is>
      </c>
      <c r="D5" s="12" t="inlineStr">
        <is>
          <t>Passive approval — cheap, low-signal.</t>
        </is>
      </c>
    </row>
    <row r="6">
      <c r="A6" s="12" t="inlineStr">
        <is>
          <t>Instagram</t>
        </is>
      </c>
      <c r="B6" s="12" t="inlineStr">
        <is>
          <t>Comment</t>
        </is>
      </c>
      <c r="C6" s="12" t="inlineStr">
        <is>
          <t>3x</t>
        </is>
      </c>
      <c r="D6" s="12" t="inlineStr">
        <is>
          <t>Real engagement — someone stopped to type.</t>
        </is>
      </c>
    </row>
    <row r="7">
      <c r="A7" s="12" t="inlineStr">
        <is>
          <t>Instagram</t>
        </is>
      </c>
      <c r="B7" s="12" t="inlineStr">
        <is>
          <t>Save</t>
        </is>
      </c>
      <c r="C7" s="12" t="inlineStr">
        <is>
          <t>3x</t>
        </is>
      </c>
      <c r="D7" s="12" t="inlineStr">
        <is>
          <t>Intent to return to this later — the strongest passive signal on IG.</t>
        </is>
      </c>
    </row>
    <row r="8">
      <c r="A8" s="12" t="inlineStr">
        <is>
          <t>Instagram</t>
        </is>
      </c>
      <c r="B8" s="12" t="inlineStr">
        <is>
          <t>Share/Send</t>
        </is>
      </c>
      <c r="C8" s="12" t="inlineStr">
        <is>
          <t>4x</t>
        </is>
      </c>
      <c r="D8" s="12" t="inlineStr">
        <is>
          <t>The strongest active signal — someone chose to hand this to another person.</t>
        </is>
      </c>
    </row>
    <row r="9">
      <c r="A9" s="12" t="inlineStr">
        <is>
          <t>Facebook</t>
        </is>
      </c>
      <c r="B9" s="12" t="inlineStr">
        <is>
          <t>Reaction</t>
        </is>
      </c>
      <c r="C9" s="12" t="inlineStr">
        <is>
          <t>1x (baseline)</t>
        </is>
      </c>
      <c r="D9" s="12" t="inlineStr">
        <is>
          <t>Passive approval.</t>
        </is>
      </c>
    </row>
    <row r="10">
      <c r="A10" s="12" t="inlineStr">
        <is>
          <t>Facebook</t>
        </is>
      </c>
      <c r="B10" s="12" t="inlineStr">
        <is>
          <t>Comment</t>
        </is>
      </c>
      <c r="C10" s="12" t="inlineStr">
        <is>
          <t>3x</t>
        </is>
      </c>
      <c r="D10" s="12" t="inlineStr">
        <is>
          <t>Real engagement, especially in local-group contexts.</t>
        </is>
      </c>
    </row>
    <row r="11">
      <c r="A11" s="12" t="inlineStr">
        <is>
          <t>Facebook</t>
        </is>
      </c>
      <c r="B11" s="12" t="inlineStr">
        <is>
          <t>Share</t>
        </is>
      </c>
      <c r="C11" s="12" t="inlineStr">
        <is>
          <t>4x</t>
        </is>
      </c>
      <c r="D11" s="12" t="inlineStr">
        <is>
          <t>Highest-intent Facebook signal.</t>
        </is>
      </c>
    </row>
    <row r="12">
      <c r="A12" s="12" t="inlineStr">
        <is>
          <t>LinkedIn</t>
        </is>
      </c>
      <c r="B12" s="12" t="inlineStr">
        <is>
          <t>Reaction</t>
        </is>
      </c>
      <c r="C12" s="12" t="inlineStr">
        <is>
          <t>1x (baseline)</t>
        </is>
      </c>
      <c r="D12" s="12" t="inlineStr">
        <is>
          <t>Passive approval — lower-effort on LinkedIn than a comment.</t>
        </is>
      </c>
    </row>
    <row r="13">
      <c r="A13" s="12" t="inlineStr">
        <is>
          <t>LinkedIn</t>
        </is>
      </c>
      <c r="B13" s="12" t="inlineStr">
        <is>
          <t>Comment</t>
        </is>
      </c>
      <c r="C13" s="12" t="inlineStr">
        <is>
          <t>4x</t>
        </is>
      </c>
      <c r="D13" s="12" t="inlineStr">
        <is>
          <t>Real engagement — LinkedIn comments carry unusually high algorithmic weight.</t>
        </is>
      </c>
    </row>
    <row r="14">
      <c r="A14" s="12" t="inlineStr">
        <is>
          <t>LinkedIn</t>
        </is>
      </c>
      <c r="B14" s="12" t="inlineStr">
        <is>
          <t>Save</t>
        </is>
      </c>
      <c r="C14" s="12" t="inlineStr">
        <is>
          <t>5x</t>
        </is>
      </c>
      <c r="D14" s="12" t="inlineStr">
        <is>
          <t>The single strongest B2B research-intent signal — treat as a hot lead indicator.</t>
        </is>
      </c>
    </row>
    <row r="15">
      <c r="A15" s="12" t="inlineStr">
        <is>
          <t>LinkedIn</t>
        </is>
      </c>
      <c r="B15" s="12" t="inlineStr">
        <is>
          <t>Repost</t>
        </is>
      </c>
      <c r="C15" s="12" t="inlineStr">
        <is>
          <t>4x</t>
        </is>
      </c>
      <c r="D15" s="12" t="inlineStr">
        <is>
          <t>High-intent share among a professional audience.</t>
        </is>
      </c>
    </row>
    <row r="16">
      <c r="A16" s="12" t="inlineStr">
        <is>
          <t>TikTok</t>
        </is>
      </c>
      <c r="B16" s="12" t="inlineStr">
        <is>
          <t>Like</t>
        </is>
      </c>
      <c r="C16" s="12" t="inlineStr">
        <is>
          <t>1x (baseline)</t>
        </is>
      </c>
      <c r="D16" s="12" t="inlineStr">
        <is>
          <t>Passive approval — very cheap on TikTok specifically.</t>
        </is>
      </c>
    </row>
    <row r="17">
      <c r="A17" s="12" t="inlineStr">
        <is>
          <t>TikTok</t>
        </is>
      </c>
      <c r="B17" s="12" t="inlineStr">
        <is>
          <t>Comment</t>
        </is>
      </c>
      <c r="C17" s="12" t="inlineStr">
        <is>
          <t>2x</t>
        </is>
      </c>
      <c r="D17" s="12" t="inlineStr">
        <is>
          <t>Engagement, but TikTok comment culture skews low-effort.</t>
        </is>
      </c>
    </row>
    <row r="18">
      <c r="A18" s="12" t="inlineStr">
        <is>
          <t>TikTok</t>
        </is>
      </c>
      <c r="B18" s="12" t="inlineStr">
        <is>
          <t>Share</t>
        </is>
      </c>
      <c r="C18" s="12" t="inlineStr">
        <is>
          <t>4x</t>
        </is>
      </c>
      <c r="D18" s="12" t="inlineStr">
        <is>
          <t>Real intent signal.</t>
        </is>
      </c>
    </row>
    <row r="19">
      <c r="A19" s="12" t="inlineStr">
        <is>
          <t>TikTok</t>
        </is>
      </c>
      <c r="B19" s="12" t="inlineStr">
        <is>
          <t>Watch-through % (75%+)</t>
        </is>
      </c>
      <c r="C19" s="12" t="inlineStr">
        <is>
          <t>Track separately, not folded into engagement score</t>
        </is>
      </c>
      <c r="D19" s="12" t="inlineStr">
        <is>
          <t>The best predictor of algorithmic reach on TikTok specifically.</t>
        </is>
      </c>
    </row>
    <row r="20">
      <c r="A20" s="12" t="inlineStr">
        <is>
          <t>X / Threads</t>
        </is>
      </c>
      <c r="B20" s="12" t="inlineStr">
        <is>
          <t>Like</t>
        </is>
      </c>
      <c r="C20" s="12" t="inlineStr">
        <is>
          <t>1x (baseline)</t>
        </is>
      </c>
      <c r="D20" s="12" t="inlineStr">
        <is>
          <t>Passive approval, mirror-channel context — low weight in overall reporting.</t>
        </is>
      </c>
    </row>
    <row r="21">
      <c r="A21" s="12" t="inlineStr">
        <is>
          <t>X / Threads</t>
        </is>
      </c>
      <c r="B21" s="12" t="inlineStr">
        <is>
          <t>Reply</t>
        </is>
      </c>
      <c r="C21" s="12" t="inlineStr">
        <is>
          <t>2x</t>
        </is>
      </c>
      <c r="D21" s="12" t="inlineStr">
        <is>
          <t>Engagement, mirror-channel context.</t>
        </is>
      </c>
    </row>
    <row r="22">
      <c r="A22" s="12" t="inlineStr">
        <is>
          <t>X / Threads</t>
        </is>
      </c>
      <c r="B22" s="12" t="inlineStr">
        <is>
          <t>Repost</t>
        </is>
      </c>
      <c r="C22" s="12" t="inlineStr">
        <is>
          <t>3x</t>
        </is>
      </c>
      <c r="D22" s="12" t="inlineStr">
        <is>
          <t>Share-equivalent, mirror-channel context.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</cols>
  <sheetData>
    <row r="1" ht="24" customHeight="1">
      <c r="A1" s="1" t="inlineStr">
        <is>
          <t>Performance Dashboard</t>
        </is>
      </c>
    </row>
    <row r="2">
      <c r="A2" s="2" t="inlineStr">
        <is>
          <t>Top-line rollups, pulled live from the 90-Day Calendar &amp; Tracker sheet.</t>
        </is>
      </c>
    </row>
    <row r="4">
      <c r="A4" s="13" t="inlineStr">
        <is>
          <t>Metric</t>
        </is>
      </c>
      <c r="B4" s="13" t="inlineStr">
        <is>
          <t>Value</t>
        </is>
      </c>
    </row>
    <row r="5">
      <c r="A5" s="10" t="inlineStr">
        <is>
          <t>Total posts scheduled this quarter</t>
        </is>
      </c>
      <c r="B5" s="14">
        <f>COUNTA('90-Day Calendar &amp; Tracker'!A6:A259)-1</f>
        <v/>
      </c>
    </row>
    <row r="6">
      <c r="A6" s="10" t="inlineStr">
        <is>
          <t>Posts published to date</t>
        </is>
      </c>
      <c r="B6" s="14">
        <f>COUNTIF('90-Day Calendar &amp; Tracker'!Y6:Y258,"Published")</f>
        <v/>
      </c>
    </row>
    <row r="7">
      <c r="A7" s="10" t="inlineStr">
        <is>
          <t>Posts still scheduled</t>
        </is>
      </c>
      <c r="B7" s="14">
        <f>COUNTIF('90-Day Calendar &amp; Tracker'!Y6:Y258,"Scheduled")</f>
        <v/>
      </c>
    </row>
    <row r="8">
      <c r="A8" s="10" t="inlineStr">
        <is>
          <t>Posts delayed</t>
        </is>
      </c>
      <c r="B8" s="14">
        <f>COUNTIF('90-Day Calendar &amp; Tracker'!Y6:Y258,"Delayed")</f>
        <v/>
      </c>
    </row>
    <row r="9">
      <c r="A9" s="10" t="inlineStr">
        <is>
          <t>Average pre-publish score</t>
        </is>
      </c>
      <c r="B9" s="14">
        <f>IFERROR(AVERAGE('90-Day Calendar &amp; Tracker'!U6:U258),"")</f>
        <v/>
      </c>
    </row>
    <row r="10">
      <c r="A10" s="10" t="inlineStr">
        <is>
          <t>Grade A posts</t>
        </is>
      </c>
      <c r="B10" s="14">
        <f>COUNTIF('90-Day Calendar &amp; Tracker'!AQ6:AQ258,"A")</f>
        <v/>
      </c>
    </row>
    <row r="11">
      <c r="A11" s="10" t="inlineStr">
        <is>
          <t>Grade B posts</t>
        </is>
      </c>
      <c r="B11" s="14">
        <f>COUNTIF('90-Day Calendar &amp; Tracker'!AQ6:AQ258,"B")</f>
        <v/>
      </c>
    </row>
    <row r="12">
      <c r="A12" s="10" t="inlineStr">
        <is>
          <t>Grade C posts</t>
        </is>
      </c>
      <c r="B12" s="14">
        <f>COUNTIF('90-Day Calendar &amp; Tracker'!AQ6:AQ258,"C")</f>
        <v/>
      </c>
    </row>
    <row r="13">
      <c r="A13" s="10" t="inlineStr">
        <is>
          <t>Grade D posts</t>
        </is>
      </c>
      <c r="B13" s="14">
        <f>COUNTIF('90-Day Calendar &amp; Tracker'!AQ6:AQ258,"D")</f>
        <v/>
      </c>
    </row>
    <row r="14">
      <c r="A14" s="10" t="inlineStr">
        <is>
          <t>Total demo requests attributed</t>
        </is>
      </c>
      <c r="B14" s="14">
        <f>IFERROR(SUM('90-Day Calendar &amp; Tracker'!AL6:AL258),0)</f>
        <v/>
      </c>
    </row>
    <row r="15">
      <c r="A15" s="10" t="inlineStr">
        <is>
          <t>Compliance-review-required posts still not signed off</t>
        </is>
      </c>
      <c r="B15" s="14">
        <f>COUNTIFS('90-Day Calendar &amp; Tracker'!N6:N258,"Yes",'90-Day Calendar &amp; Tracker'!AS6:AS258,"")</f>
        <v/>
      </c>
    </row>
    <row r="16">
      <c r="A16" s="10" t="inlineStr">
        <is>
          <t>Rights-clearance-required posts still not cleared</t>
        </is>
      </c>
      <c r="B16" s="14">
        <f>COUNTIF('90-Day Calendar &amp; Tracker'!O6:O258,"Yes")</f>
        <v/>
      </c>
    </row>
    <row r="18">
      <c r="A18" s="2" t="inlineStr">
        <is>
          <t>Note: rows reference the master Calendar &amp; Tracker sheet directly — this dashboard updates itself as status/performance columns are filled in.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60" customWidth="1" min="4" max="4"/>
    <col width="14" customWidth="1" min="5" max="5"/>
  </cols>
  <sheetData>
    <row r="1" ht="24" customHeight="1">
      <c r="A1" s="1" t="inlineStr">
        <is>
          <t>Weekly Themes</t>
        </is>
      </c>
    </row>
    <row r="2">
      <c r="A2" s="2" t="inlineStr">
        <is>
          <t>The 13-week mindset-ladder map — see Plan Section 10.</t>
        </is>
      </c>
    </row>
    <row r="4">
      <c r="A4" s="9" t="inlineStr">
        <is>
          <t>Week</t>
        </is>
      </c>
      <c r="B4" s="9" t="inlineStr">
        <is>
          <t>Dates</t>
        </is>
      </c>
      <c r="C4" s="9" t="inlineStr">
        <is>
          <t>Mindset Stage</t>
        </is>
      </c>
      <c r="D4" s="9" t="inlineStr">
        <is>
          <t>Weekly Theme</t>
        </is>
      </c>
      <c r="E4" s="9" t="inlineStr">
        <is>
          <t>Lead Persona</t>
        </is>
      </c>
    </row>
    <row r="5">
      <c r="A5" s="12" t="n">
        <v>1</v>
      </c>
      <c r="B5" s="12" t="inlineStr">
        <is>
          <t>Aug 3–9</t>
        </is>
      </c>
      <c r="C5" s="12" t="inlineStr">
        <is>
          <t>Unaware</t>
        </is>
      </c>
      <c r="D5" s="12" t="inlineStr">
        <is>
          <t>Launch grid — What's Included, product tour, review profiles live</t>
        </is>
      </c>
      <c r="E5" s="12" t="inlineStr">
        <is>
          <t>Danny</t>
        </is>
      </c>
    </row>
    <row r="6">
      <c r="A6" s="12" t="n">
        <v>2</v>
      </c>
      <c r="B6" s="12" t="inlineStr">
        <is>
          <t>Aug 10–16</t>
        </is>
      </c>
      <c r="C6" s="12" t="inlineStr">
        <is>
          <t>Unaware → Problem-aware</t>
        </is>
      </c>
      <c r="D6" s="12" t="inlineStr">
        <is>
          <t>The 11pm ID check — naming the compliance fear before naming ourselves</t>
        </is>
      </c>
      <c r="E6" s="12" t="inlineStr">
        <is>
          <t>Ray</t>
        </is>
      </c>
    </row>
    <row r="7">
      <c r="A7" s="12" t="n">
        <v>3</v>
      </c>
      <c r="B7" s="12" t="inlineStr">
        <is>
          <t>Aug 17–23</t>
        </is>
      </c>
      <c r="C7" s="12" t="inlineStr">
        <is>
          <t>Problem-aware</t>
        </is>
      </c>
      <c r="D7" s="12" t="inlineStr">
        <is>
          <t>The Sunday case-count — shrinkage and case-break inventory pain</t>
        </is>
      </c>
      <c r="E7" s="12" t="inlineStr">
        <is>
          <t>Farah</t>
        </is>
      </c>
    </row>
    <row r="8">
      <c r="A8" s="12" t="n">
        <v>4</v>
      </c>
      <c r="B8" s="12" t="inlineStr">
        <is>
          <t>Aug 24–30</t>
        </is>
      </c>
      <c r="C8" s="12" t="inlineStr">
        <is>
          <t>Problem-aware</t>
        </is>
      </c>
      <c r="D8" s="12" t="inlineStr">
        <is>
          <t>The regular who stopped coming — silent churn, no data to see it</t>
        </is>
      </c>
      <c r="E8" s="12" t="inlineStr">
        <is>
          <t>Danny</t>
        </is>
      </c>
    </row>
    <row r="9">
      <c r="A9" s="12" t="n">
        <v>5</v>
      </c>
      <c r="B9" s="12" t="inlineStr">
        <is>
          <t>Aug 31–Sep 6</t>
        </is>
      </c>
      <c r="C9" s="12" t="inlineStr">
        <is>
          <t>Solution-aware (skeptical)</t>
        </is>
      </c>
      <c r="D9" s="12" t="inlineStr">
        <is>
          <t>Liquor vertical deep-dive</t>
        </is>
      </c>
      <c r="E9" s="12" t="inlineStr">
        <is>
          <t>Danny</t>
        </is>
      </c>
    </row>
    <row r="10">
      <c r="A10" s="12" t="n">
        <v>6</v>
      </c>
      <c r="B10" s="12" t="inlineStr">
        <is>
          <t>Sep 7–13</t>
        </is>
      </c>
      <c r="C10" s="12" t="inlineStr">
        <is>
          <t>Solution-aware (skeptical)</t>
        </is>
      </c>
      <c r="D10" s="12" t="inlineStr">
        <is>
          <t>Convenience vertical deep-dive — multi-location</t>
        </is>
      </c>
      <c r="E10" s="12" t="inlineStr">
        <is>
          <t>Farah</t>
        </is>
      </c>
    </row>
    <row r="11">
      <c r="A11" s="12" t="n">
        <v>7</v>
      </c>
      <c r="B11" s="12" t="inlineStr">
        <is>
          <t>Sep 14–20</t>
        </is>
      </c>
      <c r="C11" s="12" t="inlineStr">
        <is>
          <t>Solution-aware (skeptical)</t>
        </is>
      </c>
      <c r="D11" s="12" t="inlineStr">
        <is>
          <t>Smoke/vape vertical deep-dive — SHAFT-aware marketing</t>
        </is>
      </c>
      <c r="E11" s="12" t="inlineStr">
        <is>
          <t>Ray</t>
        </is>
      </c>
    </row>
    <row r="12">
      <c r="A12" s="12" t="n">
        <v>8</v>
      </c>
      <c r="B12" s="12" t="inlineStr">
        <is>
          <t>Sep 21–27</t>
        </is>
      </c>
      <c r="C12" s="12" t="inlineStr">
        <is>
          <t>Solution-aware (skeptical)</t>
        </is>
      </c>
      <c r="D12" s="12" t="inlineStr">
        <is>
          <t>CBD vertical deep-dive — the uncontested category</t>
        </is>
      </c>
      <c r="E12" s="12" t="inlineStr">
        <is>
          <t>Sam</t>
        </is>
      </c>
    </row>
    <row r="13">
      <c r="A13" s="12" t="n">
        <v>9</v>
      </c>
      <c r="B13" s="12" t="inlineStr">
        <is>
          <t>Sep 28–Oct 4</t>
        </is>
      </c>
      <c r="C13" s="12" t="inlineStr">
        <is>
          <t>Solution-aware → Product-aware</t>
        </is>
      </c>
      <c r="D13" s="12" t="inlineStr">
        <is>
          <t>First proof week — reference-customer story, multi-location growth</t>
        </is>
      </c>
      <c r="E13" s="12" t="inlineStr">
        <is>
          <t>Priya</t>
        </is>
      </c>
    </row>
    <row r="14">
      <c r="A14" s="12" t="n">
        <v>10</v>
      </c>
      <c r="B14" s="12" t="inlineStr">
        <is>
          <t>Oct 5–11</t>
        </is>
      </c>
      <c r="C14" s="12" t="inlineStr">
        <is>
          <t>Product-aware</t>
        </is>
      </c>
      <c r="D14" s="12" t="inlineStr">
        <is>
          <t>A day in the store — liquor whole-day workflow story</t>
        </is>
      </c>
      <c r="E14" s="12" t="inlineStr">
        <is>
          <t>Danny</t>
        </is>
      </c>
    </row>
    <row r="15">
      <c r="A15" s="12" t="n">
        <v>11</v>
      </c>
      <c r="B15" s="12" t="inlineStr">
        <is>
          <t>Oct 12–18</t>
        </is>
      </c>
      <c r="C15" s="12" t="inlineStr">
        <is>
          <t>Product-aware</t>
        </is>
      </c>
      <c r="D15" s="12" t="inlineStr">
        <is>
          <t>A day in the store — convenience/smoke whole-day workflow story</t>
        </is>
      </c>
      <c r="E15" s="12" t="inlineStr">
        <is>
          <t>Farah / Ray</t>
        </is>
      </c>
    </row>
    <row r="16">
      <c r="A16" s="12" t="n">
        <v>12</v>
      </c>
      <c r="B16" s="12" t="inlineStr">
        <is>
          <t>Oct 19–25</t>
        </is>
      </c>
      <c r="C16" s="12" t="inlineStr">
        <is>
          <t>Product-aware</t>
        </is>
      </c>
      <c r="D16" s="12" t="inlineStr">
        <is>
          <t>Flagship benchmark report launch + trade press push</t>
        </is>
      </c>
      <c r="E16" s="12" t="inlineStr">
        <is>
          <t>All</t>
        </is>
      </c>
    </row>
    <row r="17">
      <c r="A17" s="12" t="n">
        <v>13</v>
      </c>
      <c r="B17" s="12" t="inlineStr">
        <is>
          <t>Oct 26–Nov 1</t>
        </is>
      </c>
      <c r="C17" s="12" t="inlineStr">
        <is>
          <t>Product-aware</t>
        </is>
      </c>
      <c r="D17" s="12" t="inlineStr">
        <is>
          <t>Open live demo week + Q4 readout</t>
        </is>
      </c>
      <c r="E17" s="12" t="inlineStr">
        <is>
          <t>All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14" customWidth="1" min="4" max="4"/>
    <col width="18" customWidth="1" min="5" max="5"/>
  </cols>
  <sheetData>
    <row r="1" ht="24" customHeight="1">
      <c r="A1" s="1" t="inlineStr">
        <is>
          <t>Content Mix Tracker</t>
        </is>
      </c>
    </row>
    <row r="2">
      <c r="A2" s="2" t="inlineStr">
        <is>
          <t>Live counts of what's shipped, against the Plan's target mix. Percent columns calculate automatically.</t>
        </is>
      </c>
    </row>
    <row r="4">
      <c r="A4" s="15" t="inlineStr">
        <is>
          <t>By content pillar category</t>
        </is>
      </c>
    </row>
    <row r="5">
      <c r="A5" s="9" t="inlineStr">
        <is>
          <t>Category</t>
        </is>
      </c>
      <c r="B5" s="9" t="inlineStr">
        <is>
          <t>Target Share</t>
        </is>
      </c>
      <c r="C5" s="9" t="inlineStr">
        <is>
          <t>Units Shipped (live count)</t>
        </is>
      </c>
      <c r="D5" s="9" t="inlineStr">
        <is>
          <t>Actual Share</t>
        </is>
      </c>
      <c r="E5" s="9" t="inlineStr">
        <is>
          <t>Verdict</t>
        </is>
      </c>
    </row>
    <row r="6">
      <c r="A6" s="10" t="inlineStr">
        <is>
          <t>Educate</t>
        </is>
      </c>
      <c r="B6" s="16" t="n">
        <v>0.35</v>
      </c>
      <c r="C6" s="10">
        <f>COUNTIF('90-Day Calendar &amp; Tracker'!H6:H258,A6)</f>
        <v/>
      </c>
      <c r="D6" s="16">
        <f>IFERROR(C6/SUM($C$6:$C$10),0)</f>
        <v/>
      </c>
      <c r="E6" s="10">
        <f>IF(ABS(D6-B6)&lt;=0.07,"On target",IF(D6&gt;B6,"Over-weighted","Under-weighted"))</f>
        <v/>
      </c>
    </row>
    <row r="7">
      <c r="A7" s="10" t="inlineStr">
        <is>
          <t>Inspire</t>
        </is>
      </c>
      <c r="B7" s="16" t="n">
        <v>0.25</v>
      </c>
      <c r="C7" s="10">
        <f>COUNTIF('90-Day Calendar &amp; Tracker'!H6:H258,A7)</f>
        <v/>
      </c>
      <c r="D7" s="16">
        <f>IFERROR(C7/SUM($C$6:$C$10),0)</f>
        <v/>
      </c>
      <c r="E7" s="10">
        <f>IF(ABS(D7-B7)&lt;=0.07,"On target",IF(D7&gt;B7,"Over-weighted","Under-weighted"))</f>
        <v/>
      </c>
    </row>
    <row r="8">
      <c r="A8" s="10" t="inlineStr">
        <is>
          <t>Entertain</t>
        </is>
      </c>
      <c r="B8" s="16" t="n">
        <v>0.1</v>
      </c>
      <c r="C8" s="10">
        <f>COUNTIF('90-Day Calendar &amp; Tracker'!H6:H258,A8)</f>
        <v/>
      </c>
      <c r="D8" s="16">
        <f>IFERROR(C8/SUM($C$6:$C$10),0)</f>
        <v/>
      </c>
      <c r="E8" s="10">
        <f>IF(ABS(D8-B8)&lt;=0.07,"On target",IF(D8&gt;B8,"Over-weighted","Under-weighted"))</f>
        <v/>
      </c>
    </row>
    <row r="9">
      <c r="A9" s="10" t="inlineStr">
        <is>
          <t>Engage</t>
        </is>
      </c>
      <c r="B9" s="16" t="n">
        <v>0.2</v>
      </c>
      <c r="C9" s="10">
        <f>COUNTIF('90-Day Calendar &amp; Tracker'!H6:H258,A9)</f>
        <v/>
      </c>
      <c r="D9" s="16">
        <f>IFERROR(C9/SUM($C$6:$C$10),0)</f>
        <v/>
      </c>
      <c r="E9" s="10">
        <f>IF(ABS(D9-B9)&lt;=0.07,"On target",IF(D9&gt;B9,"Over-weighted","Under-weighted"))</f>
        <v/>
      </c>
    </row>
    <row r="10">
      <c r="A10" s="10" t="inlineStr">
        <is>
          <t>Promote</t>
        </is>
      </c>
      <c r="B10" s="16" t="n">
        <v>0.1</v>
      </c>
      <c r="C10" s="10">
        <f>COUNTIF('90-Day Calendar &amp; Tracker'!H6:H258,A10)</f>
        <v/>
      </c>
      <c r="D10" s="16">
        <f>IFERROR(C10/SUM($C$6:$C$10),0)</f>
        <v/>
      </c>
      <c r="E10" s="10">
        <f>IF(ABS(D10-B10)&lt;=0.07,"On target",IF(D10&gt;B10,"Over-weighted","Under-weighted"))</f>
        <v/>
      </c>
    </row>
    <row r="12">
      <c r="A12" s="15" t="inlineStr">
        <is>
          <t>By format group</t>
        </is>
      </c>
    </row>
    <row r="13">
      <c r="A13" s="9" t="inlineStr">
        <is>
          <t>Category</t>
        </is>
      </c>
      <c r="B13" s="9" t="inlineStr">
        <is>
          <t>Target Share</t>
        </is>
      </c>
      <c r="C13" s="9" t="inlineStr">
        <is>
          <t>Units Shipped (live count)</t>
        </is>
      </c>
      <c r="D13" s="9" t="inlineStr">
        <is>
          <t>Actual Share</t>
        </is>
      </c>
      <c r="E13" s="9" t="inlineStr">
        <is>
          <t>Verdict</t>
        </is>
      </c>
    </row>
    <row r="14">
      <c r="A14" s="10" t="inlineStr">
        <is>
          <t>Video</t>
        </is>
      </c>
      <c r="B14" s="16" t="n">
        <v>0.3</v>
      </c>
      <c r="C14" s="10">
        <f>COUNTIF('90-Day Calendar &amp; Tracker'!I6:I258,A14)</f>
        <v/>
      </c>
      <c r="D14" s="16">
        <f>IFERROR(C14/SUM($C$14:$C$17),0)</f>
        <v/>
      </c>
      <c r="E14" s="10">
        <f>IF(ABS(D14-B14)&lt;=0.07,"On target",IF(D14&gt;B14,"Over-weighted","Under-weighted"))</f>
        <v/>
      </c>
    </row>
    <row r="15">
      <c r="A15" s="10" t="inlineStr">
        <is>
          <t>Carousel</t>
        </is>
      </c>
      <c r="B15" s="16" t="n">
        <v>0.25</v>
      </c>
      <c r="C15" s="10">
        <f>COUNTIF('90-Day Calendar &amp; Tracker'!I6:I258,A15)</f>
        <v/>
      </c>
      <c r="D15" s="16">
        <f>IFERROR(C15/SUM($C$14:$C$17),0)</f>
        <v/>
      </c>
      <c r="E15" s="10">
        <f>IF(ABS(D15-B15)&lt;=0.07,"On target",IF(D15&gt;B15,"Over-weighted","Under-weighted"))</f>
        <v/>
      </c>
    </row>
    <row r="16">
      <c r="A16" s="10" t="inlineStr">
        <is>
          <t>Static</t>
        </is>
      </c>
      <c r="B16" s="16" t="n">
        <v>0.3</v>
      </c>
      <c r="C16" s="10">
        <f>COUNTIF('90-Day Calendar &amp; Tracker'!I6:I258,A16)</f>
        <v/>
      </c>
      <c r="D16" s="16">
        <f>IFERROR(C16/SUM($C$14:$C$17),0)</f>
        <v/>
      </c>
      <c r="E16" s="10">
        <f>IF(ABS(D16-B16)&lt;=0.07,"On target",IF(D16&gt;B16,"Over-weighted","Under-weighted"))</f>
        <v/>
      </c>
    </row>
    <row r="17">
      <c r="A17" s="10" t="inlineStr">
        <is>
          <t>Text</t>
        </is>
      </c>
      <c r="B17" s="16" t="n">
        <v>0.15</v>
      </c>
      <c r="C17" s="10">
        <f>COUNTIF('90-Day Calendar &amp; Tracker'!I6:I258,A17)</f>
        <v/>
      </c>
      <c r="D17" s="16">
        <f>IFERROR(C17/SUM($C$14:$C$17),0)</f>
        <v/>
      </c>
      <c r="E17" s="10">
        <f>IF(ABS(D17-B17)&lt;=0.07,"On target",IF(D17&gt;B17,"Over-weighted","Under-weighted"))</f>
        <v/>
      </c>
    </row>
    <row r="19">
      <c r="A19" s="15" t="inlineStr">
        <is>
          <t>By persona</t>
        </is>
      </c>
    </row>
    <row r="20">
      <c r="A20" s="9" t="inlineStr">
        <is>
          <t>Persona</t>
        </is>
      </c>
      <c r="B20" s="9" t="inlineStr">
        <is>
          <t>Units Tagged (live count)</t>
        </is>
      </c>
      <c r="C20" s="9" t="inlineStr">
        <is>
          <t>Share of Total</t>
        </is>
      </c>
    </row>
    <row r="21">
      <c r="A21" s="10" t="inlineStr">
        <is>
          <t>Danny</t>
        </is>
      </c>
      <c r="B21" s="10">
        <f>COUNTIF('90-Day Calendar &amp; Tracker'!F6:F258,A21)</f>
        <v/>
      </c>
      <c r="C21" s="16">
        <f>IFERROR(B21/253,0)</f>
        <v/>
      </c>
    </row>
    <row r="22">
      <c r="A22" s="10" t="inlineStr">
        <is>
          <t>Farah</t>
        </is>
      </c>
      <c r="B22" s="10">
        <f>COUNTIF('90-Day Calendar &amp; Tracker'!F6:F258,A22)</f>
        <v/>
      </c>
      <c r="C22" s="16">
        <f>IFERROR(B22/253,0)</f>
        <v/>
      </c>
    </row>
    <row r="23">
      <c r="A23" s="10" t="inlineStr">
        <is>
          <t>Ray</t>
        </is>
      </c>
      <c r="B23" s="10">
        <f>COUNTIF('90-Day Calendar &amp; Tracker'!F6:F258,A23)</f>
        <v/>
      </c>
      <c r="C23" s="16">
        <f>IFERROR(B23/253,0)</f>
        <v/>
      </c>
    </row>
    <row r="24">
      <c r="A24" s="10" t="inlineStr">
        <is>
          <t>Priya</t>
        </is>
      </c>
      <c r="B24" s="10">
        <f>COUNTIF('90-Day Calendar &amp; Tracker'!F6:F258,A24)</f>
        <v/>
      </c>
      <c r="C24" s="16">
        <f>IFERROR(B24/253,0)</f>
        <v/>
      </c>
    </row>
    <row r="25">
      <c r="A25" s="10" t="inlineStr">
        <is>
          <t>Sam</t>
        </is>
      </c>
      <c r="B25" s="10">
        <f>COUNTIF('90-Day Calendar &amp; Tracker'!F6:F258,A25)</f>
        <v/>
      </c>
      <c r="C25" s="16">
        <f>IFERROR(B25/253,0)</f>
        <v/>
      </c>
    </row>
    <row r="26">
      <c r="A26" s="10" t="inlineStr">
        <is>
          <t>All</t>
        </is>
      </c>
      <c r="B26" s="10">
        <f>COUNTIF('90-Day Calendar &amp; Tracker'!F6:F258,A26)</f>
        <v/>
      </c>
      <c r="C26" s="16">
        <f>IFERROR(B26/253,0)</f>
        <v/>
      </c>
    </row>
    <row r="27">
      <c r="A27" s="10" t="inlineStr">
        <is>
          <t>Farah / Ray</t>
        </is>
      </c>
      <c r="B27" s="10">
        <f>COUNTIF('90-Day Calendar &amp; Tracker'!F6:F258,A27)</f>
        <v/>
      </c>
      <c r="C27" s="16">
        <f>IFERROR(B27/253,0)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55" customWidth="1" min="3" max="3"/>
    <col width="35" customWidth="1" min="4" max="4"/>
  </cols>
  <sheetData>
    <row r="1" ht="24" customHeight="1">
      <c r="A1" s="1" t="inlineStr">
        <is>
          <t>Feature to Hook Library</t>
        </is>
      </c>
    </row>
    <row r="2">
      <c r="A2" s="2" t="inlineStr">
        <is>
          <t>The 3-Layer Method (Feature → Function → Benefit) — see Plan Section 8.</t>
        </is>
      </c>
    </row>
    <row r="4">
      <c r="A4" s="9" t="inlineStr">
        <is>
          <t>Feature</t>
        </is>
      </c>
      <c r="B4" s="9" t="inlineStr">
        <is>
          <t>Function</t>
        </is>
      </c>
      <c r="C4" s="9" t="inlineStr">
        <is>
          <t>Benefit ("so you can ___")</t>
        </is>
      </c>
      <c r="D4" s="9" t="inlineStr">
        <is>
          <t>Status</t>
        </is>
      </c>
    </row>
    <row r="5">
      <c r="A5" s="12" t="inlineStr">
        <is>
          <t>Hard-block age verification</t>
        </is>
      </c>
      <c r="B5" s="12" t="inlineStr">
        <is>
          <t>Transaction physically cannot complete until a valid ID check passes.</t>
        </is>
      </c>
      <c r="C5" s="12" t="inlineStr">
        <is>
          <t>So you can staff confidently — even with a brand-new hire on a Friday night — without one missed check becoming a fine or a license review.</t>
        </is>
      </c>
      <c r="D5" s="12" t="inlineStr">
        <is>
          <t>Shipped</t>
        </is>
      </c>
    </row>
    <row r="6">
      <c r="A6" s="12" t="inlineStr">
        <is>
          <t>Automatic audit logging</t>
        </is>
      </c>
      <c r="B6" s="12" t="inlineStr">
        <is>
          <t>Every age-verification check is timestamped and stored without staff having to do anything.</t>
        </is>
      </c>
      <c r="C6" s="12" t="inlineStr">
        <is>
          <t>So you can hand over a clean record the moment a regulator or auditor asks, instead of scrambling.</t>
        </is>
      </c>
      <c r="D6" s="12" t="inlineStr">
        <is>
          <t>Shipped</t>
        </is>
      </c>
    </row>
    <row r="7">
      <c r="A7" s="12" t="inlineStr">
        <is>
          <t>Case-break inventory conversion</t>
        </is>
      </c>
      <c r="B7" s="12" t="inlineStr">
        <is>
          <t>A case auto-converts to single-unit stock the instant it's broken.</t>
        </is>
      </c>
      <c r="C7" s="12" t="inlineStr">
        <is>
          <t>So you can trust the number on the screen instead of recounting the walk-in every week.</t>
        </is>
      </c>
      <c r="D7" s="12" t="inlineStr">
        <is>
          <t>Shipped</t>
        </is>
      </c>
    </row>
    <row r="8">
      <c r="A8" s="12" t="inlineStr">
        <is>
          <t>AI-driven reorder alerts</t>
        </is>
      </c>
      <c r="B8" s="12" t="inlineStr">
        <is>
          <t>Flags what's about to run out based on real sales velocity, not a fixed par level.</t>
        </is>
      </c>
      <c r="C8" s="12" t="inlineStr">
        <is>
          <t>So you can reorder before the shelf goes empty, not after a customer asks why you're out.</t>
        </is>
      </c>
      <c r="D8" s="12" t="inlineStr">
        <is>
          <t>Shipped</t>
        </is>
      </c>
    </row>
    <row r="9">
      <c r="A9" s="12" t="inlineStr">
        <is>
          <t>Moolah Points win-back automation</t>
        </is>
      </c>
      <c r="B9" s="12" t="inlineStr">
        <is>
          <t>Automatically triggers a message once a customer misses their usual visit window.</t>
        </is>
      </c>
      <c r="C9" s="12" t="inlineStr">
        <is>
          <t>So you can bring back the regular who quietly stopped coming, without personally remembering to.</t>
        </is>
      </c>
      <c r="D9" s="12" t="inlineStr">
        <is>
          <t>Shipped</t>
        </is>
      </c>
    </row>
    <row r="10">
      <c r="A10" s="12" t="inlineStr">
        <is>
          <t>SHAFT/TCPA-aware campaign templates</t>
        </is>
      </c>
      <c r="B10" s="12" t="inlineStr">
        <is>
          <t>Pre-built messaging routes through compliant, category-safe language and consent flows.</t>
        </is>
      </c>
      <c r="C10" s="12" t="inlineStr">
        <is>
          <t>So you can market to your list without wondering if today's text is the one that gets you flagged.</t>
        </is>
      </c>
      <c r="D10" s="12" t="inlineStr">
        <is>
          <t>Shipped</t>
        </is>
      </c>
    </row>
    <row r="11">
      <c r="A11" s="12" t="inlineStr">
        <is>
          <t>Dual cash/card pricing</t>
        </is>
      </c>
      <c r="B11" s="12" t="inlineStr">
        <is>
          <t>Displays and charges the correct price automatically depending on tender type.</t>
        </is>
      </c>
      <c r="C11" s="12" t="inlineStr">
        <is>
          <t>So you can absorb card processing costs fairly, without awkward at-register math.</t>
        </is>
      </c>
      <c r="D11" s="12" t="inlineStr">
        <is>
          <t>Shipped</t>
        </is>
      </c>
    </row>
    <row r="12">
      <c r="A12" s="12" t="inlineStr">
        <is>
          <t>Multi-location unified reporting</t>
        </is>
      </c>
      <c r="B12" s="12" t="inlineStr">
        <is>
          <t>One dashboard shows inventory, sales, and loyalty across every store.</t>
        </is>
      </c>
      <c r="C12" s="12" t="inlineStr">
        <is>
          <t>So you can open a second or third location without doubling your admin work.</t>
        </is>
      </c>
      <c r="D12" s="12" t="inlineStr">
        <is>
          <t>Shipped — confirm current parity before Priya-persona claims (Plan risk #6)</t>
        </is>
      </c>
    </row>
    <row r="13">
      <c r="A13" s="12" t="inlineStr">
        <is>
          <t>EDI invoicing</t>
        </is>
      </c>
      <c r="B13" s="12" t="inlineStr">
        <is>
          <t>Distributor invoices import and reconcile against received stock automatically.</t>
        </is>
      </c>
      <c r="C13" s="12" t="inlineStr">
        <is>
          <t>So you can catch a shorted case before it becomes a month-end surprise.</t>
        </is>
      </c>
      <c r="D13" s="12" t="inlineStr">
        <is>
          <t>Shipped</t>
        </is>
      </c>
    </row>
    <row r="14">
      <c r="A14" s="12" t="inlineStr">
        <is>
          <t>Omnichannel/e-commerce sync</t>
        </is>
      </c>
      <c r="B14" s="12" t="inlineStr">
        <is>
          <t>Online and in-store inventory stay in sync in real time.</t>
        </is>
      </c>
      <c r="C14" s="12" t="inlineStr">
        <is>
          <t>So you can sell online without the fear of a phantom stockout.</t>
        </is>
      </c>
      <c r="D14" s="12" t="inlineStr">
        <is>
          <t>Shipped</t>
        </is>
      </c>
    </row>
    <row r="15">
      <c r="A15" s="12" t="inlineStr">
        <is>
          <t>DO NOT MARKET YET — published support SLA</t>
        </is>
      </c>
      <c r="B15" s="12" t="inlineStr">
        <is>
          <t>Any specific response-time commitment.</t>
        </is>
      </c>
      <c r="C15" s="12" t="inlineStr">
        <is>
          <t>N/A until confirmed.</t>
        </is>
      </c>
      <c r="D15" s="17" t="inlineStr">
        <is>
          <t>BLOCKED — needs Plan Section 23 item 4 sign-off before any claim ships.</t>
        </is>
      </c>
    </row>
    <row r="16">
      <c r="A16" s="12" t="inlineStr">
        <is>
          <t>DO NOT MARKET YET — blanket CBD compliance</t>
        </is>
      </c>
      <c r="B16" s="12" t="inlineStr">
        <is>
          <t>Any "fully compliant in every state" language.</t>
        </is>
      </c>
      <c r="C16" s="12" t="inlineStr">
        <is>
          <t>N/A — always route to "confirm your state's current rules."</t>
        </is>
      </c>
      <c r="D16" s="17" t="inlineStr">
        <is>
          <t>BLOCKED — needs counsel review, Plan Section 23 item 9.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7" customWidth="1" min="1" max="1"/>
    <col width="55" customWidth="1" min="2" max="2"/>
    <col width="40" customWidth="1" min="3" max="3"/>
    <col width="45" customWidth="1" min="4" max="4"/>
  </cols>
  <sheetData>
    <row r="1" ht="24" customHeight="1">
      <c r="A1" s="1" t="inlineStr">
        <is>
          <t>Blog &amp; SEO Plan</t>
        </is>
      </c>
    </row>
    <row r="2">
      <c r="A2" s="2" t="inlineStr">
        <is>
          <t>One anchor post per week — see Plan Section 14.</t>
        </is>
      </c>
    </row>
    <row r="4">
      <c r="A4" s="9" t="inlineStr">
        <is>
          <t>Week</t>
        </is>
      </c>
      <c r="B4" s="9" t="inlineStr">
        <is>
          <t>Topic</t>
        </is>
      </c>
      <c r="C4" s="9" t="inlineStr">
        <is>
          <t>Intent</t>
        </is>
      </c>
      <c r="D4" s="9" t="inlineStr">
        <is>
          <t>Extends / Links To</t>
        </is>
      </c>
    </row>
    <row r="5">
      <c r="A5" s="12" t="n">
        <v>1</v>
      </c>
      <c r="B5" s="12" t="inlineStr">
        <is>
          <t>What's actually included with RetailzPOS</t>
        </is>
      </c>
      <c r="C5" s="12" t="inlineStr">
        <is>
          <t>Self-serve research, no pricing page needed</t>
        </is>
      </c>
      <c r="D5" s="12" t="inlineStr">
        <is>
          <t>New: What's Included hub page</t>
        </is>
      </c>
    </row>
    <row r="6">
      <c r="A6" s="12" t="n">
        <v>2</v>
      </c>
      <c r="B6" s="12" t="inlineStr">
        <is>
          <t>Hard-block vs. soft-block age verification: what the difference actually costs you</t>
        </is>
      </c>
      <c r="C6" s="12" t="inlineStr">
        <is>
          <t>Compliance-anxious searchers</t>
        </is>
      </c>
      <c r="D6" s="12" t="inlineStr">
        <is>
          <t>Existing compliance/audit-guide content</t>
        </is>
      </c>
    </row>
    <row r="7">
      <c r="A7" s="12" t="n">
        <v>3</v>
      </c>
      <c r="B7" s="12" t="inlineStr">
        <is>
          <t>Case-break inventory, explained for owners who hate spreadsheets</t>
        </is>
      </c>
      <c r="C7" s="12" t="inlineStr">
        <is>
          <t>Shrinkage/inventory-pain searchers</t>
        </is>
      </c>
      <c r="D7" s="12" t="inlineStr">
        <is>
          <t>—</t>
        </is>
      </c>
    </row>
    <row r="8">
      <c r="A8" s="12" t="n">
        <v>4</v>
      </c>
      <c r="B8" s="12" t="inlineStr">
        <is>
          <t>The real cost of a silent churned customer (and how you'd never know)</t>
        </is>
      </c>
      <c r="C8" s="12" t="inlineStr">
        <is>
          <t>Loyalty-curious searchers</t>
        </is>
      </c>
      <c r="D8" s="12" t="inlineStr">
        <is>
          <t>Moolah Points market research (Paytronix stat)</t>
        </is>
      </c>
    </row>
    <row r="9">
      <c r="A9" s="12" t="n">
        <v>5</v>
      </c>
      <c r="B9" s="12" t="inlineStr">
        <is>
          <t>Liquor store POS buyer's guide 2026</t>
        </is>
      </c>
      <c r="C9" s="12" t="inlineStr">
        <is>
          <t>Liquor-vertical comparison intent</t>
        </is>
      </c>
      <c r="D9" s="12" t="inlineStr">
        <is>
          <t>retailzpos-blog-01 (Bottle POS), -02 (NRS POS), -04 (LMS-POS)</t>
        </is>
      </c>
    </row>
    <row r="10">
      <c r="A10" s="12" t="n">
        <v>6</v>
      </c>
      <c r="B10" s="12" t="inlineStr">
        <is>
          <t>Convenience store multi-location POS: what actually breaks at scale</t>
        </is>
      </c>
      <c r="C10" s="12" t="inlineStr">
        <is>
          <t>Farah-persona, growth-stage intent</t>
        </is>
      </c>
      <c r="D10" s="12" t="inlineStr">
        <is>
          <t>retailzpos-blog-06 (Square), -07 (Loyverse)</t>
        </is>
      </c>
    </row>
    <row r="11">
      <c r="A11" s="12" t="n">
        <v>7</v>
      </c>
      <c r="B11" s="12" t="inlineStr">
        <is>
          <t>SHAFT and TCPA for smoke/vape retail marketing: a plain-English guide</t>
        </is>
      </c>
      <c r="C11" s="12" t="inlineStr">
        <is>
          <t>Ray-persona, compliance intent</t>
        </is>
      </c>
      <c r="D11" s="12" t="inlineStr">
        <is>
          <t>Existing compliance content</t>
        </is>
      </c>
    </row>
    <row r="12">
      <c r="A12" s="12" t="n">
        <v>8</v>
      </c>
      <c r="B12" s="12" t="inlineStr">
        <is>
          <t>CBD retail compliance and POS: the state-by-state reality</t>
        </is>
      </c>
      <c r="C12" s="12" t="inlineStr">
        <is>
          <t>Sam-persona, uncontested search space</t>
        </is>
      </c>
      <c r="D12" s="12" t="inlineStr">
        <is>
          <t>New — requires counsel review</t>
        </is>
      </c>
    </row>
    <row r="13">
      <c r="A13" s="12" t="n">
        <v>9</v>
      </c>
      <c r="B13" s="12" t="inlineStr">
        <is>
          <t>Customer story: how [reference merchant] cut shrinkage / recovered lapsed customers</t>
        </is>
      </c>
      <c r="C13" s="12" t="inlineStr">
        <is>
          <t>Proof-stage, product-aware searchers</t>
        </is>
      </c>
      <c r="D13" s="12" t="inlineStr">
        <is>
          <t>New — requires reference customer</t>
        </is>
      </c>
    </row>
    <row r="14">
      <c r="A14" s="12" t="n">
        <v>10</v>
      </c>
      <c r="B14" s="12" t="inlineStr">
        <is>
          <t>A day in a liquor store running RetailzPOS</t>
        </is>
      </c>
      <c r="C14" s="12" t="inlineStr">
        <is>
          <t>Workflow/product-aware searchers</t>
        </is>
      </c>
      <c r="D14" s="12" t="inlineStr">
        <is>
          <t>—</t>
        </is>
      </c>
    </row>
    <row r="15">
      <c r="A15" s="12" t="n">
        <v>11</v>
      </c>
      <c r="B15" s="12" t="inlineStr">
        <is>
          <t>A day in a convenience/smoke shop running RetailzPOS</t>
        </is>
      </c>
      <c r="C15" s="12" t="inlineStr">
        <is>
          <t>Workflow/product-aware searchers</t>
        </is>
      </c>
      <c r="D15" s="12" t="inlineStr">
        <is>
          <t>—</t>
        </is>
      </c>
    </row>
    <row r="16">
      <c r="A16" s="12" t="n">
        <v>12</v>
      </c>
      <c r="B16" s="12" t="inlineStr">
        <is>
          <t>The State of Independent Retail POS 2026 — flagship benchmark report</t>
        </is>
      </c>
      <c r="C16" s="12" t="inlineStr">
        <is>
          <t>Citation-bait, trade-press pickup, AI-answer-engine sourcing</t>
        </is>
      </c>
      <c r="D16" s="12" t="inlineStr">
        <is>
          <t>retailzpos-benchmark-report-groundwork</t>
        </is>
      </c>
    </row>
    <row r="17">
      <c r="A17" s="12" t="n">
        <v>13</v>
      </c>
      <c r="B17" s="12" t="inlineStr">
        <is>
          <t>Q3 in review: what we learned from this quarter's demos</t>
        </is>
      </c>
      <c r="C17" s="12" t="inlineStr">
        <is>
          <t>Bottom-funnel, sets up Q4</t>
        </is>
      </c>
      <c r="D17" s="12" t="inlineStr">
        <is>
          <t>—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5" customWidth="1" min="3" max="3"/>
  </cols>
  <sheetData>
    <row r="1" ht="24" customHeight="1">
      <c r="A1" s="1" t="inlineStr">
        <is>
          <t>Email &amp; Lifecycle</t>
        </is>
      </c>
    </row>
    <row r="2">
      <c r="A2" s="2" t="inlineStr">
        <is>
          <t>See Plan Section 15.</t>
        </is>
      </c>
    </row>
    <row r="4">
      <c r="A4" s="9" t="inlineStr">
        <is>
          <t>Sequence</t>
        </is>
      </c>
      <c r="B4" s="9" t="inlineStr">
        <is>
          <t>Trigger</t>
        </is>
      </c>
      <c r="C4" s="9" t="inlineStr">
        <is>
          <t>Goal</t>
        </is>
      </c>
    </row>
    <row r="5">
      <c r="A5" s="12" t="inlineStr">
        <is>
          <t>Demo-request nurture</t>
        </is>
      </c>
      <c r="B5" s="12" t="inlineStr">
        <is>
          <t>Someone requests a demo</t>
        </is>
      </c>
      <c r="C5" s="12" t="inlineStr">
        <is>
          <t>Confirm, set expectations, deliver the recorded product tour as a backup if scheduling slips</t>
        </is>
      </c>
    </row>
    <row r="6">
      <c r="A6" s="12" t="inlineStr">
        <is>
          <t>Post-demo follow-up</t>
        </is>
      </c>
      <c r="B6" s="12" t="inlineStr">
        <is>
          <t>Demo held, no close yet</t>
        </is>
      </c>
      <c r="C6" s="12" t="inlineStr">
        <is>
          <t>Answer objections by persona/vertical, never lead with price, always end in a next-call invitation</t>
        </is>
      </c>
    </row>
    <row r="7">
      <c r="A7" s="12" t="inlineStr">
        <is>
          <t>Content digest</t>
        </is>
      </c>
      <c r="B7" s="12" t="inlineStr">
        <is>
          <t>Newsletter subscriber</t>
        </is>
      </c>
      <c r="C7" s="12" t="inlineStr">
        <is>
          <t>Monthly roundup of vertical deep-dives and benchmark findings, positioned as "worth knowing," not "buy now"</t>
        </is>
      </c>
    </row>
    <row r="8">
      <c r="A8" s="12" t="inlineStr">
        <is>
          <t>Reference-customer recruitment</t>
        </is>
      </c>
      <c r="B8" s="12" t="inlineStr">
        <is>
          <t>Existing merchant flagged as a strong fit</t>
        </is>
      </c>
      <c r="C8" s="12" t="inlineStr">
        <is>
          <t>Recruit the 3-5 reference customers needed for Plan Section 23, with a clear, simple usage-rights ask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5" customWidth="1" min="1" max="1"/>
    <col width="10" customWidth="1" min="2" max="2"/>
  </cols>
  <sheetData>
    <row r="1" ht="24" customHeight="1">
      <c r="A1" s="1" t="inlineStr">
        <is>
          <t>Post Grading — Pre-Publish Scorecard</t>
        </is>
      </c>
    </row>
    <row r="2">
      <c r="A2" s="2" t="inlineStr">
        <is>
          <t>Weighted out of 100. Truth &amp; Claims Accuracy is a gate — a failing score there stops publication regardless of total. See Plan Section 20.</t>
        </is>
      </c>
    </row>
    <row r="4">
      <c r="A4" s="9" t="inlineStr">
        <is>
          <t>Criterion</t>
        </is>
      </c>
      <c r="B4" s="9" t="inlineStr">
        <is>
          <t>Weight</t>
        </is>
      </c>
    </row>
    <row r="5">
      <c r="A5" s="17" t="inlineStr">
        <is>
          <t>Truth &amp; claims accuracy (GATE — automatic stop if failed)</t>
        </is>
      </c>
      <c r="B5" s="10" t="n">
        <v>20</v>
      </c>
    </row>
    <row r="6">
      <c r="A6" s="12" t="inlineStr">
        <is>
          <t>Persona relevance (tagged to exactly one of the five)</t>
        </is>
      </c>
      <c r="B6" s="10" t="n">
        <v>12</v>
      </c>
    </row>
    <row r="7">
      <c r="A7" s="12" t="inlineStr">
        <is>
          <t>Messaging-pillar clarity (one pillar, clearly carried)</t>
        </is>
      </c>
      <c r="B7" s="10" t="n">
        <v>12</v>
      </c>
    </row>
    <row r="8">
      <c r="A8" s="12" t="inlineStr">
        <is>
          <t>Hook strength (stops the scroll in the first line/frame)</t>
        </is>
      </c>
      <c r="B8" s="10" t="n">
        <v>12</v>
      </c>
    </row>
    <row r="9">
      <c r="A9" s="12" t="inlineStr">
        <is>
          <t>3-Layer Method correctly applied (where feature-based)</t>
        </is>
      </c>
      <c r="B9" s="10" t="n">
        <v>10</v>
      </c>
    </row>
    <row r="10">
      <c r="A10" s="12" t="inlineStr">
        <is>
          <t>Compliance-safe language (SHAFT/TCPA/CBD-state caveats as applicable)</t>
        </is>
      </c>
      <c r="B10" s="10" t="n">
        <v>10</v>
      </c>
    </row>
    <row r="11">
      <c r="A11" s="12" t="inlineStr">
        <is>
          <t>No pricing implication anywhere in copy or visual</t>
        </is>
      </c>
      <c r="B11" s="10" t="n">
        <v>8</v>
      </c>
    </row>
    <row r="12">
      <c r="A12" s="12" t="inlineStr">
        <is>
          <t>Visual brand consistency (palette, type, accent cap)</t>
        </is>
      </c>
      <c r="B12" s="10" t="n">
        <v>8</v>
      </c>
    </row>
    <row r="13">
      <c r="A13" s="12" t="inlineStr">
        <is>
          <t>Platform-native formatting</t>
        </is>
      </c>
      <c r="B13" s="10" t="n">
        <v>4</v>
      </c>
    </row>
    <row r="14">
      <c r="A14" s="12" t="inlineStr">
        <is>
          <t>Accessibility (contrast, alt text, no color-only meaning)</t>
        </is>
      </c>
      <c r="B14" s="10" t="n">
        <v>4</v>
      </c>
    </row>
    <row r="15">
      <c r="A15" s="18" t="inlineStr">
        <is>
          <t>Total</t>
        </is>
      </c>
      <c r="B15" s="18">
        <f>SUM(B5:B14)</f>
        <v/>
      </c>
    </row>
  </sheetData>
  <mergeCells count="2">
    <mergeCell ref="A2:B2"/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</cols>
  <sheetData>
    <row r="1" ht="24" customHeight="1">
      <c r="A1" s="1" t="inlineStr">
        <is>
          <t>Post Grading — Post-Publish</t>
        </is>
      </c>
    </row>
    <row r="2">
      <c r="A2" s="2" t="inlineStr">
        <is>
          <t>A/B/C/D grade assigned 48-72 hours after publish, based on reach relative to the account's trailing 30-day median for that format/platform. See Plan Section 21.</t>
        </is>
      </c>
    </row>
    <row r="4">
      <c r="A4" s="9" t="inlineStr">
        <is>
          <t>Grade</t>
        </is>
      </c>
      <c r="B4" s="9" t="inlineStr">
        <is>
          <t>Reach vs. 30-Day Median</t>
        </is>
      </c>
    </row>
    <row r="5">
      <c r="A5" s="19" t="inlineStr">
        <is>
          <t>A</t>
        </is>
      </c>
      <c r="B5" s="10" t="inlineStr">
        <is>
          <t>2.0x or higher</t>
        </is>
      </c>
    </row>
    <row r="6">
      <c r="A6" s="19" t="inlineStr">
        <is>
          <t>B</t>
        </is>
      </c>
      <c r="B6" s="10" t="inlineStr">
        <is>
          <t>1.2x – 1.99x</t>
        </is>
      </c>
    </row>
    <row r="7">
      <c r="A7" s="19" t="inlineStr">
        <is>
          <t>C</t>
        </is>
      </c>
      <c r="B7" s="10" t="inlineStr">
        <is>
          <t>0.6x – 1.19x</t>
        </is>
      </c>
    </row>
    <row r="8">
      <c r="A8" s="19" t="inlineStr">
        <is>
          <t>D</t>
        </is>
      </c>
      <c r="B8" s="10" t="inlineStr">
        <is>
          <t>Below 0.6x</t>
        </is>
      </c>
    </row>
    <row r="10">
      <c r="A10" s="2" t="inlineStr">
        <is>
          <t>Grades feed the Content Mix Tracker and inform which pillar/format/persona combinations get more or less weight the following month.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 ht="24" customHeight="1">
      <c r="A1" s="1" t="inlineStr">
        <is>
          <t>Content Do's and Don'ts</t>
        </is>
      </c>
    </row>
    <row r="2">
      <c r="A2" s="2" t="inlineStr">
        <is>
          <t>See Plan Section 19.</t>
        </is>
      </c>
    </row>
    <row r="4">
      <c r="A4" s="9" t="inlineStr">
        <is>
          <t>Do</t>
        </is>
      </c>
      <c r="B4" s="9" t="inlineStr">
        <is>
          <t>Don't</t>
        </is>
      </c>
    </row>
    <row r="5">
      <c r="A5" s="12" t="inlineStr">
        <is>
          <t>Name the specific pain (the 11pm ID check, the Sunday case-count) before naming RetailzPOS</t>
        </is>
      </c>
      <c r="B5" s="12" t="inlineStr">
        <is>
          <t>Open with a generic "grow your business" line that could apply to any POS</t>
        </is>
      </c>
    </row>
    <row r="6">
      <c r="A6" s="12" t="inlineStr">
        <is>
          <t>Use real, current feature capability, checked against the confirmed matrix</t>
        </is>
      </c>
      <c r="B6" s="12" t="inlineStr">
        <is>
          <t>Market a feature that isn't shipped yet, or an SLA that isn't confirmed</t>
        </is>
      </c>
    </row>
    <row r="7">
      <c r="A7" s="12" t="inlineStr">
        <is>
          <t>Route every "what's this cost?" to a warm answer + demo invite</t>
        </is>
      </c>
      <c r="B7" s="12" t="inlineStr">
        <is>
          <t>Ever quote a figure, range, or soft price anchor</t>
        </is>
      </c>
    </row>
    <row r="8">
      <c r="A8" s="12" t="inlineStr">
        <is>
          <t>Route every CBD compliance claim to "confirm your state's current rules"</t>
        </is>
      </c>
      <c r="B8" s="12" t="inlineStr">
        <is>
          <t>Imply blanket CBD legal compliance in every state</t>
        </is>
      </c>
    </row>
    <row r="9">
      <c r="A9" s="12" t="inlineStr">
        <is>
          <t>Use SHAFT/TCPA-safe language in every SMS-related post and campaign</t>
        </is>
      </c>
      <c r="B9" s="12" t="inlineStr">
        <is>
          <t>Name specific nicotine/alcohol products directly inside SMS copy</t>
        </is>
      </c>
    </row>
    <row r="10">
      <c r="A10" s="12" t="inlineStr">
        <is>
          <t>Tag every post to exactly one of the five named personas</t>
        </is>
      </c>
      <c r="B10" s="12" t="inlineStr">
        <is>
          <t>Write a post aimed at "retailers" in the abstract</t>
        </is>
      </c>
    </row>
    <row r="11">
      <c r="A11" s="12" t="inlineStr">
        <is>
          <t>Use one messaging pillar per post, rotated</t>
        </is>
      </c>
      <c r="B11" s="12" t="inlineStr">
        <is>
          <t>Cram multiple pillars into a single post</t>
        </is>
      </c>
    </row>
    <row r="12">
      <c r="A12" s="12" t="inlineStr">
        <is>
          <t>Credit and get usage rights cleared before using any reference-customer story</t>
        </is>
      </c>
      <c r="B12" s="12" t="inlineStr">
        <is>
          <t>Publish a merchant story without signed usage rights</t>
        </is>
      </c>
    </row>
    <row r="13">
      <c r="A13" s="12" t="inlineStr">
        <is>
          <t>Check alcohol/tobacco/CBD ad policy on the specific platform before any paid spend</t>
        </is>
      </c>
      <c r="B13" s="12" t="inlineStr">
        <is>
          <t>Assume Meta/TikTok ad policy is the same as general retail</t>
        </is>
      </c>
    </row>
    <row r="14">
      <c r="A14" s="12" t="inlineStr">
        <is>
          <t>Keep every claim checkable against real product capability or cited research</t>
        </is>
      </c>
      <c r="B14" s="12" t="inlineStr">
        <is>
          <t>State a statistic without a source, internal or external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6" customWidth="1" min="4" max="4"/>
    <col width="18" customWidth="1" min="5" max="5"/>
    <col width="16" customWidth="1" min="6" max="6"/>
    <col width="14" customWidth="1" min="7" max="7"/>
    <col width="12" customWidth="1" min="8" max="8"/>
  </cols>
  <sheetData>
    <row r="1" ht="24" customHeight="1">
      <c r="A1" s="1" t="inlineStr">
        <is>
          <t>KPI Tracker</t>
        </is>
      </c>
    </row>
    <row r="2">
      <c r="A2" s="2" t="inlineStr">
        <is>
          <t>True-north metric: demo requests. No numeric targets before Week 5 — see the Brief's measurement philosophy.</t>
        </is>
      </c>
    </row>
    <row r="4">
      <c r="A4" s="9" t="inlineStr">
        <is>
          <t>Week</t>
        </is>
      </c>
      <c r="B4" s="9" t="inlineStr">
        <is>
          <t>Dates</t>
        </is>
      </c>
      <c r="C4" s="9" t="inlineStr">
        <is>
          <t>Reach (total)</t>
        </is>
      </c>
      <c r="D4" s="9" t="inlineStr">
        <is>
          <t>Saves/Shares (total)</t>
        </is>
      </c>
      <c r="E4" s="9" t="inlineStr">
        <is>
          <t>Avg. Watch-through %</t>
        </is>
      </c>
      <c r="F4" s="9" t="inlineStr">
        <is>
          <t>Demo Page Visits</t>
        </is>
      </c>
      <c r="G4" s="9" t="inlineStr">
        <is>
          <t>Demo Requests</t>
        </is>
      </c>
      <c r="H4" s="9" t="inlineStr">
        <is>
          <t>Demos Held</t>
        </is>
      </c>
    </row>
    <row r="5">
      <c r="A5" s="10" t="n">
        <v>1</v>
      </c>
      <c r="B5" s="10" t="inlineStr">
        <is>
          <t>Aug 3–9</t>
        </is>
      </c>
      <c r="C5" s="10" t="n"/>
      <c r="D5" s="10" t="n"/>
      <c r="E5" s="10" t="n"/>
      <c r="F5" s="10" t="n"/>
      <c r="G5" s="10" t="n"/>
      <c r="H5" s="10" t="n"/>
    </row>
    <row r="6">
      <c r="A6" s="10" t="n">
        <v>2</v>
      </c>
      <c r="B6" s="10" t="inlineStr">
        <is>
          <t>Aug 10–16</t>
        </is>
      </c>
      <c r="C6" s="10" t="n"/>
      <c r="D6" s="10" t="n"/>
      <c r="E6" s="10" t="n"/>
      <c r="F6" s="10" t="n"/>
      <c r="G6" s="10" t="n"/>
      <c r="H6" s="10" t="n"/>
    </row>
    <row r="7">
      <c r="A7" s="10" t="n">
        <v>3</v>
      </c>
      <c r="B7" s="10" t="inlineStr">
        <is>
          <t>Aug 17–23</t>
        </is>
      </c>
      <c r="C7" s="10" t="n"/>
      <c r="D7" s="10" t="n"/>
      <c r="E7" s="10" t="n"/>
      <c r="F7" s="10" t="n"/>
      <c r="G7" s="10" t="n"/>
      <c r="H7" s="10" t="n"/>
    </row>
    <row r="8">
      <c r="A8" s="10" t="n">
        <v>4</v>
      </c>
      <c r="B8" s="10" t="inlineStr">
        <is>
          <t>Aug 24–30</t>
        </is>
      </c>
      <c r="C8" s="10" t="n"/>
      <c r="D8" s="10" t="n"/>
      <c r="E8" s="10" t="n"/>
      <c r="F8" s="10" t="n"/>
      <c r="G8" s="10" t="n"/>
      <c r="H8" s="10" t="n"/>
    </row>
    <row r="9">
      <c r="A9" s="10" t="n">
        <v>5</v>
      </c>
      <c r="B9" s="10" t="inlineStr">
        <is>
          <t>Aug 31–Sep 6</t>
        </is>
      </c>
      <c r="C9" s="10" t="n"/>
      <c r="D9" s="10" t="n"/>
      <c r="E9" s="10" t="n"/>
      <c r="F9" s="10" t="n"/>
      <c r="G9" s="10" t="n"/>
      <c r="H9" s="10" t="n"/>
    </row>
    <row r="10">
      <c r="A10" s="10" t="n">
        <v>6</v>
      </c>
      <c r="B10" s="10" t="inlineStr">
        <is>
          <t>Sep 7–13</t>
        </is>
      </c>
      <c r="C10" s="10" t="n"/>
      <c r="D10" s="10" t="n"/>
      <c r="E10" s="10" t="n"/>
      <c r="F10" s="10" t="n"/>
      <c r="G10" s="10" t="n"/>
      <c r="H10" s="10" t="n"/>
    </row>
    <row r="11">
      <c r="A11" s="10" t="n">
        <v>7</v>
      </c>
      <c r="B11" s="10" t="inlineStr">
        <is>
          <t>Sep 14–20</t>
        </is>
      </c>
      <c r="C11" s="10" t="n"/>
      <c r="D11" s="10" t="n"/>
      <c r="E11" s="10" t="n"/>
      <c r="F11" s="10" t="n"/>
      <c r="G11" s="10" t="n"/>
      <c r="H11" s="10" t="n"/>
    </row>
    <row r="12">
      <c r="A12" s="10" t="n">
        <v>8</v>
      </c>
      <c r="B12" s="10" t="inlineStr">
        <is>
          <t>Sep 21–27</t>
        </is>
      </c>
      <c r="C12" s="10" t="n"/>
      <c r="D12" s="10" t="n"/>
      <c r="E12" s="10" t="n"/>
      <c r="F12" s="10" t="n"/>
      <c r="G12" s="10" t="n"/>
      <c r="H12" s="10" t="n"/>
    </row>
    <row r="13">
      <c r="A13" s="10" t="n">
        <v>9</v>
      </c>
      <c r="B13" s="10" t="inlineStr">
        <is>
          <t>Sep 28–Oct 4</t>
        </is>
      </c>
      <c r="C13" s="10" t="n"/>
      <c r="D13" s="10" t="n"/>
      <c r="E13" s="10" t="n"/>
      <c r="F13" s="10" t="n"/>
      <c r="G13" s="10" t="n"/>
      <c r="H13" s="10" t="n"/>
    </row>
    <row r="14">
      <c r="A14" s="10" t="n">
        <v>10</v>
      </c>
      <c r="B14" s="10" t="inlineStr">
        <is>
          <t>Oct 5–11</t>
        </is>
      </c>
      <c r="C14" s="10" t="n"/>
      <c r="D14" s="10" t="n"/>
      <c r="E14" s="10" t="n"/>
      <c r="F14" s="10" t="n"/>
      <c r="G14" s="10" t="n"/>
      <c r="H14" s="10" t="n"/>
    </row>
    <row r="15">
      <c r="A15" s="10" t="n">
        <v>11</v>
      </c>
      <c r="B15" s="10" t="inlineStr">
        <is>
          <t>Oct 12–18</t>
        </is>
      </c>
      <c r="C15" s="10" t="n"/>
      <c r="D15" s="10" t="n"/>
      <c r="E15" s="10" t="n"/>
      <c r="F15" s="10" t="n"/>
      <c r="G15" s="10" t="n"/>
      <c r="H15" s="10" t="n"/>
    </row>
    <row r="16">
      <c r="A16" s="10" t="n">
        <v>12</v>
      </c>
      <c r="B16" s="10" t="inlineStr">
        <is>
          <t>Oct 19–25</t>
        </is>
      </c>
      <c r="C16" s="10" t="n"/>
      <c r="D16" s="10" t="n"/>
      <c r="E16" s="10" t="n"/>
      <c r="F16" s="10" t="n"/>
      <c r="G16" s="10" t="n"/>
      <c r="H16" s="10" t="n"/>
    </row>
    <row r="17">
      <c r="A17" s="10" t="n">
        <v>13</v>
      </c>
      <c r="B17" s="10" t="inlineStr">
        <is>
          <t>Oct 26–Nov 1</t>
        </is>
      </c>
      <c r="C17" s="10" t="n"/>
      <c r="D17" s="10" t="n"/>
      <c r="E17" s="10" t="n"/>
      <c r="F17" s="10" t="n"/>
      <c r="G17" s="10" t="n"/>
      <c r="H17" s="10" t="n"/>
    </row>
    <row r="18">
      <c r="A18" s="18" t="inlineStr">
        <is>
          <t>Month 1 total (Weeks 1-4)</t>
        </is>
      </c>
      <c r="C18" s="18">
        <f>SUM(C4:C7)</f>
        <v/>
      </c>
      <c r="D18" s="18">
        <f>SUM(D4:D7)</f>
        <v/>
      </c>
      <c r="E18" s="18">
        <f>SUM(E4:E7)</f>
        <v/>
      </c>
      <c r="F18" s="18">
        <f>SUM(F4:F7)</f>
        <v/>
      </c>
      <c r="G18" s="18">
        <f>SUM(G4:G7)</f>
        <v/>
      </c>
      <c r="H18" s="18">
        <f>SUM(H4:H7)</f>
        <v/>
      </c>
    </row>
    <row r="19">
      <c r="A19" s="18" t="inlineStr">
        <is>
          <t>Month 2 total (Weeks 5-9)</t>
        </is>
      </c>
      <c r="C19" s="18">
        <f>SUM(C8:C12)</f>
        <v/>
      </c>
      <c r="D19" s="18">
        <f>SUM(D8:D12)</f>
        <v/>
      </c>
      <c r="E19" s="18">
        <f>SUM(E8:E12)</f>
        <v/>
      </c>
      <c r="F19" s="18">
        <f>SUM(F8:F12)</f>
        <v/>
      </c>
      <c r="G19" s="18">
        <f>SUM(G8:G12)</f>
        <v/>
      </c>
      <c r="H19" s="18">
        <f>SUM(H8:H12)</f>
        <v/>
      </c>
    </row>
    <row r="20">
      <c r="A20" s="18" t="inlineStr">
        <is>
          <t>Month 3 total (Weeks 10-13)</t>
        </is>
      </c>
      <c r="C20" s="18">
        <f>SUM(C13:C16)</f>
        <v/>
      </c>
      <c r="D20" s="18">
        <f>SUM(D13:D16)</f>
        <v/>
      </c>
      <c r="E20" s="18">
        <f>SUM(E13:E16)</f>
        <v/>
      </c>
      <c r="F20" s="18">
        <f>SUM(F13:F16)</f>
        <v/>
      </c>
      <c r="G20" s="18">
        <f>SUM(G13:G16)</f>
        <v/>
      </c>
      <c r="H20" s="18">
        <f>SUM(H13:H16)</f>
        <v/>
      </c>
    </row>
    <row r="21">
      <c r="A21" s="20" t="inlineStr">
        <is>
          <t>Quarter total</t>
        </is>
      </c>
      <c r="C21" s="21">
        <f>SUM(C4:C16)</f>
        <v/>
      </c>
      <c r="D21" s="21">
        <f>SUM(D4:D16)</f>
        <v/>
      </c>
      <c r="E21" s="21">
        <f>SUM(E4:E16)</f>
        <v/>
      </c>
      <c r="F21" s="21">
        <f>SUM(F4:F16)</f>
        <v/>
      </c>
      <c r="G21" s="21">
        <f>SUM(G4:G16)</f>
        <v/>
      </c>
      <c r="H21" s="21">
        <f>SUM(H4:H16)</f>
        <v/>
      </c>
    </row>
    <row r="23">
      <c r="A23" s="2" t="inlineStr">
        <is>
          <t>Per the measurement philosophy: Month 1 (Weeks 1-4) sets the baseline. No numeric weekly targets are set before Week 5 — targets invented before real data are just wishes.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2026-08-03T20:41:40Z</dcterms:created>
  <dcterms:modified xmlns:dcterms="http://purl.org/dc/terms/" xmlns:xsi="http://www.w3.org/2001/XMLSchema-instance" xsi:type="dcterms:W3CDTF">2026-08-03T20:41:40Z</dcterms:modified>
</cp:coreProperties>
</file>